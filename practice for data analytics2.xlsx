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drawings/drawing9.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autoCompressPictures="0"/>
  <bookViews>
    <workbookView xWindow="1155" yWindow="840" windowWidth="25515" windowHeight="11385" firstSheet="4" activeTab="1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52511"/>
  <pivotCaches>
    <pivotCache cacheId="12" r:id="rId13"/>
    <pivotCache cacheId="1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<sst xmlns="http://schemas.openxmlformats.org/spreadsheetml/2006/main" count="676" uniqueCount="379">
  <si>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</si>
  <si>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</si>
  <si>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</si>
  <si>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</si>
  <si>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</si>
  <si>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</si>
  <si>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</si>
  <si>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</si>
  <si>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</si>
  <si>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</si>
  <si>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</si>
  <si>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</si>
  <si>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</si>
  <si>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</si>
  <si>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</si>
  <si>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</si>
  <si>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</si>
  <si>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</si>
  <si>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</si>
  <si>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</si>
  <si>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</si>
  <si>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</si>
  <si>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</si>
  <si>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</si>
  <si>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</si>
  <si>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</si>
  <si>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</si>
  <si>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</si>
  <si>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</si>
  <si>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</si>
  <si>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</si>
  <si>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</si>
  <si>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</si>
  <si>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</si>
  <si>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</si>
  <si>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</si>
  <si>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</si>
  <si>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</si>
  <si>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</si>
  <si>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</si>
  <si>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</si>
  <si>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</si>
  <si>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</si>
  <si>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</si>
  <si>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</si>
  <si>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</si>
  <si>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</si>
  <si>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</si>
  <si>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</si>
  <si>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</si>
  <si>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</si>
  <si>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</si>
  <si>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</si>
  <si>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</si>
  <si>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</si>
  <si>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</si>
  <si>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</si>
  <si>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</si>
  <si>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</si>
  <si>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</si>
  <si>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</si>
  <si>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</si>
  <si>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</si>
  <si>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</si>
  <si>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</si>
  <si>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</si>
  <si>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</si>
  <si>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</si>
  <si>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</si>
  <si>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</si>
  <si>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</si>
  <si>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</si>
  <si>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</si>
  <si>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</si>
  <si>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</si>
  <si>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</si>
  <si>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</si>
  <si>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</si>
  <si>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</si>
  <si>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</si>
  <si>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</si>
  <si>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</si>
  <si>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</si>
  <si>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</si>
  <si>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</si>
  <si>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</si>
  <si>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</si>
  <si>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</si>
  <si>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</si>
  <si>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</si>
  <si>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</si>
  <si>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</si>
  <si>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</si>
  <si>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</si>
  <si>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</si>
  <si>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</si>
  <si>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</si>
  <si>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</si>
  <si>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</si>
  <si>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</si>
  <si>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</si>
  <si>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</si>
  <si>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</si>
  <si>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</si>
  <si>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</si>
  <si>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</si>
  <si>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</si>
  <si>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</si>
  <si>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</si>
  <si>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</si>
  <si>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</si>
  <si>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</si>
  <si>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</si>
  <si>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</si>
  <si>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</si>
  <si>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</si>
  <si>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</si>
  <si>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</si>
  <si>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</si>
  <si>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</si>
  <si>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</si>
  <si>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</si>
  <si>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Give us feedback on this tour</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</si>
  <si>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</si>
  <si>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</si>
  <si>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</si>
  <si>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</si>
  <si>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</si>
  <si>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</si>
  <si>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</si>
  <si>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</si>
  <si>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</si>
  <si>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</si>
  <si>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</si>
  <si>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</si>
  <si>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</si>
  <si>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</si>
  <si>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</si>
  <si>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</si>
  <si>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</si>
  <si>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</si>
  <si>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</si>
  <si>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</si>
  <si>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</si>
  <si>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</si>
  <si>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</si>
  <si>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</si>
  <si>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</si>
  <si>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</si>
  <si>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</si>
  <si>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</si>
  <si>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</si>
  <si>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</si>
  <si>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</si>
  <si>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</si>
  <si>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</si>
  <si>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</si>
  <si>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</si>
  <si>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</si>
  <si>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</si>
  <si>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</si>
  <si>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</si>
  <si>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</si>
  <si>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</si>
  <si>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</si>
  <si>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</si>
  <si>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</si>
  <si>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</si>
  <si>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</si>
  <si>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</si>
  <si>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</si>
  <si>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</si>
  <si>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</si>
  <si>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</si>
  <si>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</si>
  <si>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</si>
  <si>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</si>
  <si>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</si>
  <si>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</si>
  <si>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</si>
  <si>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</si>
  <si>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</si>
  <si>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</si>
  <si>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</si>
  <si>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</si>
  <si>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</si>
  <si>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</si>
  <si>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</si>
  <si>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</si>
  <si>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</si>
  <si>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</si>
  <si>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</si>
  <si>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</si>
  <si>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</si>
  <si>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</si>
  <si>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</si>
  <si>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</si>
  <si>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</si>
  <si>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</si>
  <si>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</si>
  <si>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</si>
  <si>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</si>
  <si>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</si>
  <si>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</si>
  <si>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</si>
  <si>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</si>
  <si>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</si>
  <si>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</si>
  <si>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</si>
  <si>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</si>
  <si>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</si>
  <si>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</si>
  <si>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</si>
  <si>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</si>
  <si>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</si>
  <si>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</si>
  <si>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</si>
  <si>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</si>
  <si>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</si>
  <si>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</si>
  <si>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</si>
  <si>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</si>
  <si>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</si>
  <si>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</si>
  <si>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</si>
  <si>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</si>
  <si>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</si>
  <si>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</si>
  <si>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</si>
  <si>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</si>
  <si>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</si>
  <si>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</si>
  <si>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</si>
  <si>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</si>
  <si>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</si>
  <si>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</si>
  <si>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</si>
  <si>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</si>
  <si>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</si>
  <si>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</si>
  <si>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</si>
  <si>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</si>
  <si>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</si>
  <si>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</si>
  <si>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</si>
  <si>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On the Data tab, select Data Validation, or press ALT+DL to open the Data Validation dialogue box. Tab to Allow and select List. Press the tab key again.</t>
  </si>
  <si>
    <t>Create a table by pressing CTRL+T, then Enter.</t>
  </si>
  <si>
    <t>On the Data tab, select Data Validation, or press ALT+DL to open the Data Validation dialogue box. Tab to Allow and press DOWN ARROW to select List. Press the tab key again.</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</si>
  <si>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</si>
  <si>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</si>
  <si>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</si>
  <si>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</si>
  <si>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</si>
  <si>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</si>
  <si>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</si>
  <si>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</si>
  <si>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</si>
  <si>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</si>
  <si>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</si>
  <si>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</si>
  <si>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</si>
  <si>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</si>
  <si>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</si>
  <si>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</si>
  <si>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</si>
  <si>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</si>
  <si>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</si>
  <si>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</si>
  <si>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</si>
  <si>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</si>
  <si>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</si>
  <si>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</si>
  <si>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</si>
  <si>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</si>
  <si>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</si>
  <si>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</si>
  <si>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</si>
  <si>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</si>
  <si>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</si>
  <si>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</si>
  <si>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</si>
  <si>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</si>
  <si>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</si>
  <si>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</si>
  <si>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</si>
  <si>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</si>
  <si>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</si>
  <si>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</si>
  <si>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</si>
  <si>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</si>
  <si>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</si>
  <si>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</si>
  <si>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</si>
  <si>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</si>
  <si>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</si>
  <si>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</si>
  <si>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</si>
  <si>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</si>
  <si>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</si>
  <si>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</si>
  <si>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</si>
  <si>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</si>
  <si>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</si>
  <si>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</si>
  <si>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</si>
  <si>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</si>
  <si>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</si>
  <si>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</si>
  <si>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</si>
  <si>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</si>
  <si>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</si>
  <si>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</si>
  <si>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</si>
  <si>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</si>
  <si>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</si>
  <si>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</si>
  <si>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</si>
  <si>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</si>
  <si>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</si>
  <si>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</si>
  <si>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</si>
  <si>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</si>
  <si>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</si>
  <si>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</si>
  <si>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</si>
  <si>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</si>
  <si>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</si>
  <si>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</si>
  <si>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</si>
  <si>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</si>
  <si>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</si>
  <si>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</si>
  <si>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</si>
  <si>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</si>
  <si>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</si>
  <si>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</si>
  <si>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</si>
  <si>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</si>
  <si>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</si>
  <si>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</si>
  <si>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</si>
  <si>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</si>
  <si>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</si>
  <si>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</si>
  <si>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</si>
  <si>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</si>
  <si>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</si>
  <si>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</si>
  <si>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</si>
  <si>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</si>
  <si>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</si>
  <si>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</si>
  <si>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 A category axis represents things like dates, people names, product names. The horizontal axis in the chart on the right starting in cell D30 has years: 2012, 2013, and so on, so this is a category axis. </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</si>
  <si>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</si>
  <si>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</si>
  <si>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</si>
  <si>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</si>
  <si>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</si>
  <si>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</si>
  <si>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</si>
  <si>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</si>
  <si>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</si>
  <si>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</si>
  <si>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Congratulations, you made a PivotTable. But there is a lot more you can do. So go to cell A60 if you want to learn more.</t>
  </si>
  <si>
    <t>Free Excel training online</t>
  </si>
  <si>
    <t xml:space="preserve">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 </t>
  </si>
  <si>
    <t>Now add only the numbers over 50. Go to cell D16. Type =SUMIF(D11:D15,"&gt;50"), then press Enter. The result is 100.</t>
  </si>
  <si>
    <t>The formula in cell E54: =SUM(D48,G48:G51,100).</t>
  </si>
  <si>
    <t>The formula in cell D78: =SUMIF(D73:D77,"&gt;50").</t>
  </si>
  <si>
    <t xml:space="preserve">GOOD TO KNOW: Go to cell G78. The formula in cell G78: =SUMIF(G73:G77,"&gt;=50")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</si>
  <si>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</si>
  <si>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</si>
  <si>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</si>
  <si>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Select a cell inside the table. For example go to cell E38, then press ALT+NV to insert a PivotTable.</t>
  </si>
  <si>
    <t xml:space="preserve">Now press DOWN ARROW to find Amount checkbox. Press Spacebar to select Amount.
When you do that, the Amount field will get added to the Values area at the bottom of the pane. And, at the same time the amounts are totaled for each product in the PivotTable.
</t>
  </si>
  <si>
    <t>A column chart appears showing conference attendance for each year. Use the arrow keys to move the chart anywhere you'd like.</t>
  </si>
  <si>
    <t>Next you’ll pivot the data so that you can find out which salesperson is the leading seller.  Select any cell inside the PivotTable, for example go to cell E12. Press CTRL+G, type E12, then press Enter.</t>
  </si>
  <si>
    <t xml:space="preserve">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 </t>
  </si>
  <si>
    <t>fruit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</si>
</sst>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68">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11" fillId="0" borderId="0" xfId="0" applyFont="1" applyAlignment="1"/>
    <xf numFmtId="0" fontId="12" fillId="0" borderId="0" xfId="0" applyFont="1" applyAlignment="1"/>
    <xf numFmtId="0" fontId="12" fillId="0" borderId="0" xfId="0" applyFont="1" applyAlignment="1">
      <alignment horizontal="left"/>
    </xf>
    <xf numFmtId="0" fontId="6" fillId="0" borderId="0" xfId="8" applyFont="1"/>
    <xf numFmtId="0" fontId="13" fillId="6" borderId="0" xfId="11">
      <alignment horizontal="left" indent="1"/>
    </xf>
    <xf numFmtId="0" fontId="14" fillId="6" borderId="0" xfId="12">
      <alignment horizontal="left" wrapText="1" indent="4"/>
    </xf>
    <xf numFmtId="0" fontId="1" fillId="3" borderId="1" xfId="5"/>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6" fontId="0" fillId="0" borderId="0" xfId="0" applyNumberFormat="1" applyFont="1" applyFill="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10" fillId="6" borderId="0" xfId="13">
      <alignment horizontal="left" wrapText="1" indent="4"/>
    </xf>
    <xf numFmtId="5" fontId="1" fillId="3" borderId="0" xfId="7" applyFill="1"/>
    <xf numFmtId="14" fontId="0" fillId="0" borderId="0" xfId="24" applyNumberFormat="1" applyFont="1"/>
    <xf numFmtId="0" fontId="0" fillId="0" borderId="0" xfId="0" applyNumberFormat="1"/>
  </cellXfs>
  <cellStyles count="25">
    <cellStyle name="Bottom Border" xfId="16"/>
    <cellStyle name="Bottom Green Border" xfId="19"/>
    <cellStyle name="Currency" xfId="7" builtinId="4" customBuiltin="1"/>
    <cellStyle name="Currency [0]" xfId="10" builtinId="7"/>
    <cellStyle name="Date" xfId="23"/>
    <cellStyle name="Followed Hyperlink" xfId="1" builtinId="9" hidden="1"/>
    <cellStyle name="Followed Hyperlink" xfId="2" builtinId="9" hidden="1"/>
    <cellStyle name="GrayCell" xfId="3"/>
    <cellStyle name="Heading 1" xfId="12" builtinId="16" customBuiltin="1"/>
    <cellStyle name="Heading 2" xfId="13" builtinId="17" customBuiltin="1"/>
    <cellStyle name="Heading 3" xfId="14" builtinId="18" customBuiltin="1"/>
    <cellStyle name="Heading 4" xfId="15" builtinId="19" customBuiltin="1"/>
    <cellStyle name="Highlight" xfId="22"/>
    <cellStyle name="Left Border" xfId="6"/>
    <cellStyle name="Left Bottom Green Border" xfId="20"/>
    <cellStyle name="Left Green Border" xfId="17"/>
    <cellStyle name="Normal" xfId="0" builtinId="0"/>
    <cellStyle name="OrangeBorder" xfId="5"/>
    <cellStyle name="Right Bottom Green Border" xfId="21"/>
    <cellStyle name="Right Green Border" xfId="18"/>
    <cellStyle name="Start Text" xfId="9"/>
    <cellStyle name="Title" xfId="11" builtinId="15" customBuiltin="1"/>
    <cellStyle name="Year" xfId="24"/>
    <cellStyle name="YellowCell" xfId="4"/>
    <cellStyle name="z A Column text" xfId="8"/>
  </cellStyles>
  <dxfs count="17">
    <dxf>
      <numFmt numFmtId="9" formatCode="&quot;$&quot;#,##0_);\(&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0"/>
        <name val="Calibri"/>
        <scheme val="minor"/>
      </font>
      <numFmt numFmtId="0" formatCode="General"/>
      <fill>
        <patternFill patternType="solid">
          <fgColor indexed="64"/>
          <bgColor rgb="FF339966"/>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19" formatCode="m/d/yyyy"/>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tableStyleElement type="headerRow" dxfId="16"/>
      <tableStyleElement type="firstRowStripe" dxfId="15"/>
    </tableStyle>
    <tableStyle name="PivotTable Style 1" table="0" count="2">
      <tableStyleElement type="headerRow" dxfId="14"/>
      <tableStyleElement type="totalRow" dxfId="13"/>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'8. Analyze'!$C$6:$D$13</c15:sqref>
                  </c15:fullRef>
                  <c15:levelRef>
                    <c15:sqref>'8. Analyze'!$D$6:$D$13</c15:sqref>
                  </c15:levelRef>
                </c:ext>
              </c:extLst>
              <c:f>'8. Analyze'!$D$6:$D$13</c:f>
              <c:strCache>
                <c:ptCount val="8"/>
                <c:pt idx="0">
                  <c:v>Veggies</c:v>
                </c:pt>
                <c:pt idx="1">
                  <c:v>Fruit</c:v>
                </c:pt>
                <c:pt idx="2">
                  <c:v>Breads</c:v>
                </c:pt>
                <c:pt idx="3">
                  <c:v>Desserts</c:v>
                </c:pt>
                <c:pt idx="4">
                  <c:v>Sandwich</c:v>
                </c:pt>
                <c:pt idx="5">
                  <c:v>Salads</c:v>
                </c:pt>
                <c:pt idx="6">
                  <c:v>Beef</c:v>
                </c:pt>
                <c:pt idx="7">
                  <c:v>Chicken</c:v>
                </c:pt>
              </c:strCache>
            </c:strRef>
          </c:cat>
          <c:val>
            <c:numRef>
              <c:f>'8. Analyze'!$E$6:$E$13</c:f>
              <c:numCache>
                <c:formatCode>"$"#,##0_);\("$"#,##0\)</c:formatCode>
                <c:ptCount val="8"/>
                <c:pt idx="0">
                  <c:v>30000</c:v>
                </c:pt>
                <c:pt idx="1">
                  <c:v>10000</c:v>
                </c:pt>
                <c:pt idx="2">
                  <c:v>30000</c:v>
                </c:pt>
                <c:pt idx="3">
                  <c:v>25000</c:v>
                </c:pt>
                <c:pt idx="4">
                  <c:v>80000</c:v>
                </c:pt>
                <c:pt idx="5">
                  <c:v>90000</c:v>
                </c:pt>
                <c:pt idx="6">
                  <c:v>90000</c:v>
                </c:pt>
                <c:pt idx="7">
                  <c:v>75000</c:v>
                </c:pt>
              </c:numCache>
            </c:numRef>
          </c:val>
        </c:ser>
        <c:ser>
          <c:idx val="1"/>
          <c:order val="1"/>
          <c:spPr>
            <a:solidFill>
              <a:schemeClr val="accent2"/>
            </a:solidFill>
            <a:ln>
              <a:noFill/>
            </a:ln>
            <a:effectLst/>
          </c:spPr>
          <c:invertIfNegative val="0"/>
          <c:cat>
            <c:strRef>
              <c:extLst>
                <c:ext xmlns:c15="http://schemas.microsoft.com/office/drawing/2012/chart" uri="{02D57815-91ED-43cb-92C2-25804820EDAC}">
                  <c15:fullRef>
                    <c15:sqref>'8. Analyze'!$C$6:$D$13</c15:sqref>
                  </c15:fullRef>
                  <c15:levelRef>
                    <c15:sqref>'8. Analyze'!$D$6:$D$13</c15:sqref>
                  </c15:levelRef>
                </c:ext>
              </c:extLst>
              <c:f>'8. Analyze'!$D$6:$D$13</c:f>
              <c:strCache>
                <c:ptCount val="8"/>
                <c:pt idx="0">
                  <c:v>Veggies</c:v>
                </c:pt>
                <c:pt idx="1">
                  <c:v>Fruit</c:v>
                </c:pt>
                <c:pt idx="2">
                  <c:v>Breads</c:v>
                </c:pt>
                <c:pt idx="3">
                  <c:v>Desserts</c:v>
                </c:pt>
                <c:pt idx="4">
                  <c:v>Sandwich</c:v>
                </c:pt>
                <c:pt idx="5">
                  <c:v>Salads</c:v>
                </c:pt>
                <c:pt idx="6">
                  <c:v>Beef</c:v>
                </c:pt>
                <c:pt idx="7">
                  <c:v>Chicken</c:v>
                </c:pt>
              </c:strCache>
            </c:strRef>
          </c:cat>
          <c:val>
            <c:numRef>
              <c:f>'8. Analyze'!$F$6:$F$13</c:f>
              <c:numCache>
                <c:formatCode>"$"#,##0_);\("$"#,##0\)</c:formatCode>
                <c:ptCount val="8"/>
                <c:pt idx="0">
                  <c:v>80000</c:v>
                </c:pt>
                <c:pt idx="1">
                  <c:v>30000</c:v>
                </c:pt>
                <c:pt idx="2">
                  <c:v>15000</c:v>
                </c:pt>
                <c:pt idx="3">
                  <c:v>80000</c:v>
                </c:pt>
                <c:pt idx="4">
                  <c:v>40000</c:v>
                </c:pt>
                <c:pt idx="5">
                  <c:v>35000</c:v>
                </c:pt>
                <c:pt idx="6">
                  <c:v>110000</c:v>
                </c:pt>
                <c:pt idx="7">
                  <c:v>82000</c:v>
                </c:pt>
              </c:numCache>
            </c:numRef>
          </c:val>
        </c:ser>
        <c:ser>
          <c:idx val="2"/>
          <c:order val="2"/>
          <c:spPr>
            <a:solidFill>
              <a:schemeClr val="accent3"/>
            </a:solidFill>
            <a:ln>
              <a:noFill/>
            </a:ln>
            <a:effectLst/>
          </c:spPr>
          <c:invertIfNegative val="0"/>
          <c:cat>
            <c:strRef>
              <c:extLst>
                <c:ext xmlns:c15="http://schemas.microsoft.com/office/drawing/2012/chart" uri="{02D57815-91ED-43cb-92C2-25804820EDAC}">
                  <c15:fullRef>
                    <c15:sqref>'8. Analyze'!$C$6:$D$13</c15:sqref>
                  </c15:fullRef>
                  <c15:levelRef>
                    <c15:sqref>'8. Analyze'!$D$6:$D$13</c15:sqref>
                  </c15:levelRef>
                </c:ext>
              </c:extLst>
              <c:f>'8. Analyze'!$D$6:$D$13</c:f>
              <c:strCache>
                <c:ptCount val="8"/>
                <c:pt idx="0">
                  <c:v>Veggies</c:v>
                </c:pt>
                <c:pt idx="1">
                  <c:v>Fruit</c:v>
                </c:pt>
                <c:pt idx="2">
                  <c:v>Breads</c:v>
                </c:pt>
                <c:pt idx="3">
                  <c:v>Desserts</c:v>
                </c:pt>
                <c:pt idx="4">
                  <c:v>Sandwich</c:v>
                </c:pt>
                <c:pt idx="5">
                  <c:v>Salads</c:v>
                </c:pt>
                <c:pt idx="6">
                  <c:v>Beef</c:v>
                </c:pt>
                <c:pt idx="7">
                  <c:v>Chicken</c:v>
                </c:pt>
              </c:strCache>
            </c:strRef>
          </c:cat>
          <c:val>
            <c:numRef>
              <c:f>'8. Analyze'!$G$6:$G$13</c:f>
              <c:numCache>
                <c:formatCode>"$"#,##0_);\("$"#,##0\)</c:formatCode>
                <c:ptCount val="8"/>
                <c:pt idx="0">
                  <c:v>30000</c:v>
                </c:pt>
                <c:pt idx="1">
                  <c:v>40000</c:v>
                </c:pt>
                <c:pt idx="2">
                  <c:v>20000</c:v>
                </c:pt>
                <c:pt idx="3">
                  <c:v>120000</c:v>
                </c:pt>
                <c:pt idx="4">
                  <c:v>20000</c:v>
                </c:pt>
                <c:pt idx="5">
                  <c:v>25000</c:v>
                </c:pt>
                <c:pt idx="6">
                  <c:v>200000</c:v>
                </c:pt>
                <c:pt idx="7">
                  <c:v>150000</c:v>
                </c:pt>
              </c:numCache>
            </c:numRef>
          </c:val>
        </c:ser>
        <c:dLbls>
          <c:showLegendKey val="0"/>
          <c:showVal val="0"/>
          <c:showCatName val="0"/>
          <c:showSerName val="0"/>
          <c:showPercent val="0"/>
          <c:showBubbleSize val="0"/>
        </c:dLbls>
        <c:gapWidth val="219"/>
        <c:overlap val="-27"/>
        <c:axId val="391868136"/>
        <c:axId val="391864608"/>
      </c:barChart>
      <c:catAx>
        <c:axId val="391868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864608"/>
        <c:crosses val="autoZero"/>
        <c:auto val="1"/>
        <c:lblAlgn val="ctr"/>
        <c:lblOffset val="100"/>
        <c:noMultiLvlLbl val="0"/>
      </c:catAx>
      <c:valAx>
        <c:axId val="391864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868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m/d/yyyy</c:formatCode>
                <c:ptCount val="6"/>
                <c:pt idx="0">
                  <c:v>40923</c:v>
                </c:pt>
                <c:pt idx="1">
                  <c:v>41289</c:v>
                </c:pt>
                <c:pt idx="2">
                  <c:v>41654</c:v>
                </c:pt>
                <c:pt idx="3">
                  <c:v>42019</c:v>
                </c:pt>
                <c:pt idx="4">
                  <c:v>42384</c:v>
                </c:pt>
                <c:pt idx="5">
                  <c:v>42750</c:v>
                </c:pt>
              </c:numCache>
            </c:numRef>
          </c:cat>
          <c:val>
            <c:numRef>
              <c:f>'9. Charts'!$E$68:$E$73</c:f>
              <c:numCache>
                <c:formatCode>General</c:formatCode>
                <c:ptCount val="6"/>
                <c:pt idx="0">
                  <c:v>500</c:v>
                </c:pt>
                <c:pt idx="1">
                  <c:v>800</c:v>
                </c:pt>
                <c:pt idx="2">
                  <c:v>1000</c:v>
                </c:pt>
                <c:pt idx="3">
                  <c:v>900</c:v>
                </c:pt>
                <c:pt idx="4">
                  <c:v>1000</c:v>
                </c:pt>
                <c:pt idx="5">
                  <c:v>1200</c:v>
                </c:pt>
              </c:numCache>
            </c:numRef>
          </c:val>
          <c:extLst xmlns:c16r2="http://schemas.microsoft.com/office/drawing/2015/06/char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386408504"/>
        <c:axId val="38641203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m/d/yyyy</c:formatCode>
                <c:ptCount val="6"/>
                <c:pt idx="0">
                  <c:v>40923</c:v>
                </c:pt>
                <c:pt idx="1">
                  <c:v>41289</c:v>
                </c:pt>
                <c:pt idx="2">
                  <c:v>41654</c:v>
                </c:pt>
                <c:pt idx="3">
                  <c:v>42019</c:v>
                </c:pt>
                <c:pt idx="4">
                  <c:v>42384</c:v>
                </c:pt>
                <c:pt idx="5">
                  <c:v>42750</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xmlns:c16r2="http://schemas.microsoft.com/office/drawing/2015/06/char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386408896"/>
        <c:axId val="386410856"/>
      </c:lineChart>
      <c:dateAx>
        <c:axId val="38640850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412032"/>
        <c:crosses val="autoZero"/>
        <c:auto val="1"/>
        <c:lblOffset val="100"/>
        <c:baseTimeUnit val="years"/>
      </c:dateAx>
      <c:valAx>
        <c:axId val="38641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408504"/>
        <c:crosses val="autoZero"/>
        <c:crossBetween val="between"/>
      </c:valAx>
      <c:valAx>
        <c:axId val="38641085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408896"/>
        <c:crosses val="max"/>
        <c:crossBetween val="between"/>
      </c:valAx>
      <c:dateAx>
        <c:axId val="386408896"/>
        <c:scaling>
          <c:orientation val="minMax"/>
        </c:scaling>
        <c:delete val="1"/>
        <c:axPos val="b"/>
        <c:numFmt formatCode="m/d/yyyy" sourceLinked="1"/>
        <c:majorTickMark val="out"/>
        <c:minorTickMark val="none"/>
        <c:tickLblPos val="nextTo"/>
        <c:crossAx val="386410856"/>
        <c:crosses val="autoZero"/>
        <c:auto val="1"/>
        <c:lblOffset val="100"/>
        <c:baseTimeUnit val="years"/>
      </c:date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2012</c:v>
                </c:pt>
                <c:pt idx="1">
                  <c:v>2013</c:v>
                </c:pt>
                <c:pt idx="2">
                  <c:v>2014</c:v>
                </c:pt>
                <c:pt idx="3">
                  <c:v>2015</c:v>
                </c:pt>
                <c:pt idx="4">
                  <c:v>2016</c:v>
                </c:pt>
                <c:pt idx="5">
                  <c:v>2017</c:v>
                </c:pt>
              </c:numCache>
            </c:numRef>
          </c:cat>
          <c:val>
            <c:numRef>
              <c:f>'9. Charts'!$D$6:$D$11</c:f>
              <c:numCache>
                <c:formatCode>General</c:formatCode>
                <c:ptCount val="6"/>
                <c:pt idx="0">
                  <c:v>500</c:v>
                </c:pt>
                <c:pt idx="1">
                  <c:v>800</c:v>
                </c:pt>
                <c:pt idx="2">
                  <c:v>1000</c:v>
                </c:pt>
                <c:pt idx="3">
                  <c:v>900</c:v>
                </c:pt>
                <c:pt idx="4">
                  <c:v>1000</c:v>
                </c:pt>
                <c:pt idx="5">
                  <c:v>1200</c:v>
                </c:pt>
              </c:numCache>
            </c:numRef>
          </c:val>
          <c:extLst xmlns:c16r2="http://schemas.microsoft.com/office/drawing/2015/06/char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386409680"/>
        <c:axId val="386410072"/>
      </c:barChart>
      <c:catAx>
        <c:axId val="3864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410072"/>
        <c:crosses val="autoZero"/>
        <c:auto val="1"/>
        <c:lblAlgn val="ctr"/>
        <c:lblOffset val="100"/>
        <c:noMultiLvlLbl val="0"/>
      </c:catAx>
      <c:valAx>
        <c:axId val="386410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409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'9. Charts'!$C$6:$C$11</c:f>
              <c:numCache>
                <c:formatCode>General</c:formatCode>
                <c:ptCount val="6"/>
                <c:pt idx="0">
                  <c:v>2012</c:v>
                </c:pt>
                <c:pt idx="1">
                  <c:v>2013</c:v>
                </c:pt>
                <c:pt idx="2">
                  <c:v>2014</c:v>
                </c:pt>
                <c:pt idx="3">
                  <c:v>2015</c:v>
                </c:pt>
                <c:pt idx="4">
                  <c:v>2016</c:v>
                </c:pt>
                <c:pt idx="5">
                  <c:v>2017</c:v>
                </c:pt>
              </c:numCache>
            </c:numRef>
          </c:cat>
          <c:val>
            <c:numRef>
              <c:f>'9. Charts'!$D$6:$D$11</c:f>
              <c:numCache>
                <c:formatCode>General</c:formatCode>
                <c:ptCount val="6"/>
                <c:pt idx="0">
                  <c:v>500</c:v>
                </c:pt>
                <c:pt idx="1">
                  <c:v>800</c:v>
                </c:pt>
                <c:pt idx="2">
                  <c:v>1000</c:v>
                </c:pt>
                <c:pt idx="3">
                  <c:v>900</c:v>
                </c:pt>
                <c:pt idx="4">
                  <c:v>1000</c:v>
                </c:pt>
                <c:pt idx="5">
                  <c:v>1200</c:v>
                </c:pt>
              </c:numCache>
            </c:numRef>
          </c:val>
        </c:ser>
        <c:dLbls>
          <c:showLegendKey val="0"/>
          <c:showVal val="0"/>
          <c:showCatName val="0"/>
          <c:showSerName val="0"/>
          <c:showPercent val="0"/>
          <c:showBubbleSize val="0"/>
        </c:dLbls>
        <c:gapWidth val="219"/>
        <c:overlap val="-27"/>
        <c:axId val="9156976"/>
        <c:axId val="9154232"/>
      </c:barChart>
      <c:catAx>
        <c:axId val="91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232"/>
        <c:crosses val="autoZero"/>
        <c:auto val="1"/>
        <c:lblAlgn val="ctr"/>
        <c:lblOffset val="100"/>
        <c:noMultiLvlLbl val="0"/>
      </c:catAx>
      <c:valAx>
        <c:axId val="9154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Charts'!$D$70:$D$75</c:f>
              <c:numCache>
                <c:formatCode>m/d/yyyy</c:formatCode>
                <c:ptCount val="6"/>
                <c:pt idx="0">
                  <c:v>41654</c:v>
                </c:pt>
                <c:pt idx="1">
                  <c:v>42019</c:v>
                </c:pt>
                <c:pt idx="2">
                  <c:v>42384</c:v>
                </c:pt>
                <c:pt idx="3">
                  <c:v>42750</c:v>
                </c:pt>
              </c:numCache>
            </c:numRef>
          </c:cat>
          <c:val>
            <c:numRef>
              <c:f>'9. Charts'!$E$70:$E$75</c:f>
              <c:numCache>
                <c:formatCode>General</c:formatCode>
                <c:ptCount val="6"/>
                <c:pt idx="0">
                  <c:v>1000</c:v>
                </c:pt>
                <c:pt idx="1">
                  <c:v>900</c:v>
                </c:pt>
                <c:pt idx="2">
                  <c:v>1000</c:v>
                </c:pt>
                <c:pt idx="3">
                  <c:v>1200</c:v>
                </c:pt>
              </c:numCache>
            </c:numRef>
          </c:val>
        </c:ser>
        <c:ser>
          <c:idx val="1"/>
          <c:order val="1"/>
          <c:tx>
            <c:strRef>
              <c:f>'9. Charts'!$F$67</c:f>
              <c:strCache>
                <c:ptCount val="1"/>
                <c:pt idx="0">
                  <c:v>Food sales</c:v>
                </c:pt>
              </c:strCache>
            </c:strRef>
          </c:tx>
          <c:spPr>
            <a:solidFill>
              <a:schemeClr val="accent2"/>
            </a:solidFill>
            <a:ln>
              <a:noFill/>
            </a:ln>
            <a:effectLst/>
          </c:spPr>
          <c:invertIfNegative val="0"/>
          <c:cat>
            <c:numRef>
              <c:f>'9. Charts'!$D$70:$D$75</c:f>
              <c:numCache>
                <c:formatCode>m/d/yyyy</c:formatCode>
                <c:ptCount val="6"/>
                <c:pt idx="0">
                  <c:v>41654</c:v>
                </c:pt>
                <c:pt idx="1">
                  <c:v>42019</c:v>
                </c:pt>
                <c:pt idx="2">
                  <c:v>42384</c:v>
                </c:pt>
                <c:pt idx="3">
                  <c:v>42750</c:v>
                </c:pt>
              </c:numCache>
            </c:numRef>
          </c:cat>
          <c:val>
            <c:numRef>
              <c:f>'9. Charts'!$F$70:$F$75</c:f>
              <c:numCache>
                <c:formatCode>"$"#,##0_);\("$"#,##0\)</c:formatCode>
                <c:ptCount val="6"/>
                <c:pt idx="0">
                  <c:v>30000</c:v>
                </c:pt>
                <c:pt idx="1">
                  <c:v>25000</c:v>
                </c:pt>
                <c:pt idx="2">
                  <c:v>5000</c:v>
                </c:pt>
                <c:pt idx="3">
                  <c:v>8000</c:v>
                </c:pt>
              </c:numCache>
            </c:numRef>
          </c:val>
        </c:ser>
        <c:dLbls>
          <c:showLegendKey val="0"/>
          <c:showVal val="0"/>
          <c:showCatName val="0"/>
          <c:showSerName val="0"/>
          <c:showPercent val="0"/>
          <c:showBubbleSize val="0"/>
        </c:dLbls>
        <c:gapWidth val="219"/>
        <c:overlap val="-27"/>
        <c:axId val="487188584"/>
        <c:axId val="487189368"/>
      </c:barChart>
      <c:dateAx>
        <c:axId val="48718858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89368"/>
        <c:crosses val="autoZero"/>
        <c:auto val="1"/>
        <c:lblOffset val="100"/>
        <c:baseTimeUnit val="years"/>
      </c:dateAx>
      <c:valAx>
        <c:axId val="487189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885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5.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7.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6.png"/><Relationship Id="rId10" Type="http://schemas.openxmlformats.org/officeDocument/2006/relationships/image" Target="../media/image4.png"/><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44741" TargetMode="External"/><Relationship Id="rId13" Type="http://schemas.microsoft.com/office/2007/relationships/hdphoto" Target="../media/hdphoto1.wdp"/><Relationship Id="rId3" Type="http://schemas.openxmlformats.org/officeDocument/2006/relationships/image" Target="../media/image12.svg"/><Relationship Id="rId7" Type="http://schemas.openxmlformats.org/officeDocument/2006/relationships/hyperlink" Target="#'2. Fill'!A1"/><Relationship Id="rId12" Type="http://schemas.openxmlformats.org/officeDocument/2006/relationships/image" Target="../media/image9.png"/><Relationship Id="rId2" Type="http://schemas.openxmlformats.org/officeDocument/2006/relationships/image" Target="../media/image7.png"/><Relationship Id="rId1" Type="http://schemas.openxmlformats.org/officeDocument/2006/relationships/hyperlink" Target="#'3. Split'!A1"/><Relationship Id="rId6" Type="http://schemas.openxmlformats.org/officeDocument/2006/relationships/image" Target="../media/image8.png"/><Relationship Id="rId11" Type="http://schemas.openxmlformats.org/officeDocument/2006/relationships/hyperlink" Target="https://go.microsoft.com/fwlink/?linkid=844745" TargetMode="External"/><Relationship Id="rId5" Type="http://schemas.openxmlformats.org/officeDocument/2006/relationships/image" Target="../media/image6.svg"/><Relationship Id="rId15" Type="http://schemas.openxmlformats.org/officeDocument/2006/relationships/image" Target="../media/image16.svg"/><Relationship Id="rId10" Type="http://schemas.openxmlformats.org/officeDocument/2006/relationships/image" Target="../media/image4.svg"/><Relationship Id="rId4" Type="http://schemas.openxmlformats.org/officeDocument/2006/relationships/image" Target="../media/image4.png"/><Relationship Id="rId9" Type="http://schemas.openxmlformats.org/officeDocument/2006/relationships/image" Target="../media/image3.png"/><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1.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 Type="http://schemas.openxmlformats.org/officeDocument/2006/relationships/image" Target="../media/image4.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image" Target="../media/image12.png"/><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6.png"/><Relationship Id="rId3" Type="http://schemas.openxmlformats.org/officeDocument/2006/relationships/image" Target="../media/image21.svg"/><Relationship Id="rId7" Type="http://schemas.openxmlformats.org/officeDocument/2006/relationships/hyperlink" Target="https://go.microsoft.com/fwlink/?linkid=844743" TargetMode="External"/><Relationship Id="rId12" Type="http://schemas.openxmlformats.org/officeDocument/2006/relationships/image" Target="../media/image15.png"/><Relationship Id="rId2" Type="http://schemas.openxmlformats.org/officeDocument/2006/relationships/image" Target="../media/image13.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hyperlink" Target="https://go.microsoft.com/fwlink/?linkid=844752" TargetMode="External"/><Relationship Id="rId5" Type="http://schemas.openxmlformats.org/officeDocument/2006/relationships/image" Target="../media/image23.svg"/><Relationship Id="rId10" Type="http://schemas.openxmlformats.org/officeDocument/2006/relationships/hyperlink" Target="https://go.microsoft.com/fwlink/?linkid=844747" TargetMode="External"/><Relationship Id="rId4" Type="http://schemas.openxmlformats.org/officeDocument/2006/relationships/image" Target="../media/image14.png"/><Relationship Id="rId9" Type="http://schemas.openxmlformats.org/officeDocument/2006/relationships/image" Target="../media/image4.svg"/><Relationship Id="rId14" Type="http://schemas.openxmlformats.org/officeDocument/2006/relationships/image" Target="../media/image26.svg"/></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44746" TargetMode="External"/><Relationship Id="rId3" Type="http://schemas.openxmlformats.org/officeDocument/2006/relationships/hyperlink" Target="#'6. Tables'!A1"/><Relationship Id="rId7" Type="http://schemas.openxmlformats.org/officeDocument/2006/relationships/hyperlink" Target="#'5. Sort &amp; filter'!A1"/><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image" Target="../media/image8.svg"/><Relationship Id="rId11" Type="http://schemas.openxmlformats.org/officeDocument/2006/relationships/hyperlink" Target="https://go.microsoft.com/fwlink/?linkid=844750" TargetMode="External"/><Relationship Id="rId5" Type="http://schemas.openxmlformats.org/officeDocument/2006/relationships/image" Target="../media/image5.png"/><Relationship Id="rId10" Type="http://schemas.openxmlformats.org/officeDocument/2006/relationships/image" Target="../media/image4.svg"/><Relationship Id="rId4" Type="http://schemas.openxmlformats.org/officeDocument/2006/relationships/image" Target="../media/image17.png"/><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image" Target="../media/image4.svg"/><Relationship Id="rId3" Type="http://schemas.openxmlformats.org/officeDocument/2006/relationships/image" Target="../media/image4.png"/><Relationship Id="rId7" Type="http://schemas.openxmlformats.org/officeDocument/2006/relationships/image" Target="../media/image10.png"/><Relationship Id="rId12" Type="http://schemas.openxmlformats.org/officeDocument/2006/relationships/image" Target="../media/image3.png"/><Relationship Id="rId2" Type="http://schemas.openxmlformats.org/officeDocument/2006/relationships/image" Target="../media/image18.png"/><Relationship Id="rId1" Type="http://schemas.openxmlformats.org/officeDocument/2006/relationships/hyperlink" Target="#'7. Drop-downs'!A1"/><Relationship Id="rId6" Type="http://schemas.openxmlformats.org/officeDocument/2006/relationships/image" Target="../media/image12.svg"/><Relationship Id="rId11" Type="http://schemas.openxmlformats.org/officeDocument/2006/relationships/hyperlink" Target="https://go.microsoft.com/fwlink/?linkid=844726" TargetMode="External"/><Relationship Id="rId5" Type="http://schemas.openxmlformats.org/officeDocument/2006/relationships/image" Target="../media/image7.png"/><Relationship Id="rId15" Type="http://schemas.openxmlformats.org/officeDocument/2006/relationships/hyperlink" Target="https://go.microsoft.com/fwlink/?linkid=844731" TargetMode="External"/><Relationship Id="rId10" Type="http://schemas.openxmlformats.org/officeDocument/2006/relationships/hyperlink" Target="#'6. Tables'!A1"/><Relationship Id="rId4" Type="http://schemas.openxmlformats.org/officeDocument/2006/relationships/image" Target="../media/image6.svg"/><Relationship Id="rId9" Type="http://schemas.openxmlformats.org/officeDocument/2006/relationships/image" Target="../media/image19.png"/><Relationship Id="rId14" Type="http://schemas.openxmlformats.org/officeDocument/2006/relationships/hyperlink" Target="https://go.microsoft.com/fwlink/?linkid=844728"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7. Drop-downs'!A1"/><Relationship Id="rId3" Type="http://schemas.openxmlformats.org/officeDocument/2006/relationships/image" Target="../media/image21.png"/><Relationship Id="rId7" Type="http://schemas.openxmlformats.org/officeDocument/2006/relationships/image" Target="../media/image6.svg"/><Relationship Id="rId12" Type="http://schemas.openxmlformats.org/officeDocument/2006/relationships/hyperlink" Target="https://go.microsoft.com/fwlink/?linkid=844742" TargetMode="External"/><Relationship Id="rId2" Type="http://schemas.openxmlformats.org/officeDocument/2006/relationships/image" Target="../media/image20.png"/><Relationship Id="rId1" Type="http://schemas.openxmlformats.org/officeDocument/2006/relationships/hyperlink" Target="#'8. Analyze'!A1"/><Relationship Id="rId6" Type="http://schemas.openxmlformats.org/officeDocument/2006/relationships/image" Target="../media/image4.png"/><Relationship Id="rId11" Type="http://schemas.openxmlformats.org/officeDocument/2006/relationships/image" Target="../media/image4.svg"/><Relationship Id="rId5" Type="http://schemas.openxmlformats.org/officeDocument/2006/relationships/image" Target="../media/image26.svg"/><Relationship Id="rId10" Type="http://schemas.openxmlformats.org/officeDocument/2006/relationships/image" Target="../media/image3.png"/><Relationship Id="rId4" Type="http://schemas.openxmlformats.org/officeDocument/2006/relationships/image" Target="../media/image16.png"/><Relationship Id="rId9" Type="http://schemas.openxmlformats.org/officeDocument/2006/relationships/hyperlink" Target="https://go.microsoft.com/fwlink/?linkid=844735"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s://go.microsoft.com/fwlink/?linkid=844725" TargetMode="External"/><Relationship Id="rId7" Type="http://schemas.openxmlformats.org/officeDocument/2006/relationships/image" Target="../media/image22.png"/><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chart" Target="../charts/chart1.xml"/><Relationship Id="rId4" Type="http://schemas.openxmlformats.org/officeDocument/2006/relationships/image" Target="../media/image3.png"/><Relationship Id="rId9" Type="http://schemas.openxmlformats.org/officeDocument/2006/relationships/image" Target="../media/image6.svg"/></Relationships>
</file>

<file path=xl/drawings/_rels/drawing10.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5.xml"/><Relationship Id="rId3" Type="http://schemas.openxmlformats.org/officeDocument/2006/relationships/hyperlink" Target="#'10. PivotTables'!A1"/><Relationship Id="rId7" Type="http://schemas.openxmlformats.org/officeDocument/2006/relationships/hyperlink" Target="https://go.microsoft.com/fwlink/?linkid=844734" TargetMode="External"/><Relationship Id="rId12" Type="http://schemas.openxmlformats.org/officeDocument/2006/relationships/chart" Target="../charts/chart4.xml"/><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hyperlink" Target="#'9. Charts'!A1"/><Relationship Id="rId11" Type="http://schemas.openxmlformats.org/officeDocument/2006/relationships/hyperlink" Target="https://go.microsoft.com/fwlink/?linkid=844739" TargetMode="External"/><Relationship Id="rId5" Type="http://schemas.openxmlformats.org/officeDocument/2006/relationships/chart" Target="../charts/chart3.xml"/><Relationship Id="rId10" Type="http://schemas.openxmlformats.org/officeDocument/2006/relationships/hyperlink" Target="https://go.microsoft.com/fwlink/?linkid=844738" TargetMode="External"/><Relationship Id="rId4" Type="http://schemas.openxmlformats.org/officeDocument/2006/relationships/chart" Target="../charts/chart2.xml"/><Relationship Id="rId9" Type="http://schemas.openxmlformats.org/officeDocument/2006/relationships/image" Target="../media/image4.svg"/></Relationships>
</file>

<file path=xl/drawings/_rels/drawing11.xml.rels><?xml version="1.0" encoding="UTF-8" standalone="yes"?>
<Relationships xmlns="http://schemas.openxmlformats.org/package/2006/relationships"><Relationship Id="rId3" Type="http://schemas.openxmlformats.org/officeDocument/2006/relationships/hyperlink" Target="#'10. PivotTables'!A1"/><Relationship Id="rId7" Type="http://schemas.openxmlformats.org/officeDocument/2006/relationships/hyperlink" Target="https://go.microsoft.com/fwlink/?linkid=844749" TargetMode="External"/><Relationship Id="rId2" Type="http://schemas.openxmlformats.org/officeDocument/2006/relationships/image" Target="../media/image23.png"/><Relationship Id="rId1" Type="http://schemas.openxmlformats.org/officeDocument/2006/relationships/hyperlink" Target="#'Learn mor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https://go.microsoft.com/fwlink/?linkid=844744" TargetMode="External"/></Relationships>
</file>

<file path=xl/drawings/_rels/drawing12.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5.png"/><Relationship Id="rId7" Type="http://schemas.openxmlformats.org/officeDocument/2006/relationships/image" Target="../media/image26.png"/><Relationship Id="rId2" Type="http://schemas.openxmlformats.org/officeDocument/2006/relationships/image" Target="../media/image24.png"/><Relationship Id="rId1" Type="http://schemas.openxmlformats.org/officeDocument/2006/relationships/hyperlink" Target="https://go.microsoft.com/fwlink/?linkid=844970" TargetMode="External"/><Relationship Id="rId6" Type="http://schemas.openxmlformats.org/officeDocument/2006/relationships/hyperlink" Target="http://go.microsoft.com/fwlink/?LinkId=846286" TargetMode="External"/><Relationship Id="rId5" Type="http://schemas.openxmlformats.org/officeDocument/2006/relationships/hyperlink" Target="http://go.microsoft.com/fwlink/?LinkId=844969" TargetMode="External"/><Relationship Id="rId10" Type="http://schemas.openxmlformats.org/officeDocument/2006/relationships/image" Target="../media/image39.svg"/><Relationship Id="rId4" Type="http://schemas.openxmlformats.org/officeDocument/2006/relationships/hyperlink" Target="http://go.microsoft.com/fwlink/?LinkId=846285" TargetMode="External"/><Relationship Id="rId9"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xmlns=""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xmlns=""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xmlns=""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xmlns=""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xmlns=""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xmlns=""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xmlns=""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xmlns=""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xmlns=""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xmlns=""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xmlns=""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xmlns=""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xmlns=""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xmlns=""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xmlns=""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xmlns=""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xmlns=""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xmlns=""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xmlns=""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xmlns=""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xmlns=""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xmlns=""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xmlns=""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xmlns=""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xmlns=""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xmlns=""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xmlns=""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xmlns=""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xmlns=""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xmlns=""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xmlns=""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xmlns=""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xmlns=""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xmlns=""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xmlns=""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xmlns=""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xmlns=""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xmlns=""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xmlns=""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xmlns=""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xmlns=""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xmlns=""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xmlns=""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xmlns=""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xmlns=""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
            </a: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xmlns=""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xmlns=""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xmlns=""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xmlns=""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xmlns=""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xmlns=""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xmlns=""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xmlns=""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xmlns=""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xmlns=""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xmlns=""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xmlns=""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xmlns=""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xmlns=""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xmlns=""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xmlns=""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xmlns=""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xmlns=""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xmlns=""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xmlns=""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xmlns=""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xmlns=""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xmlns=""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xmlns=""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xmlns=""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xmlns=""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xmlns=""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xmlns=""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xmlns=""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xmlns=""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xmlns=""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xmlns=""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xmlns=""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xmlns=""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xmlns=""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xmlns=""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xmlns=""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xmlns=""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xmlns=""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xmlns=""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xmlns=""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xmlns=""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xmlns=""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xmlns=""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xmlns=""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xmlns=""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xmlns=""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xmlns=""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xmlns=""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xmlns=""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xmlns=""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xmlns=""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xmlns=""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xmlns=""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xmlns=""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xmlns=""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xmlns=""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xmlns=""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xmlns=""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xmlns=""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xmlns=""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xmlns=""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xmlns=""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xmlns=""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xmlns=""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xmlns=""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xmlns=""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xmlns=""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xmlns=""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xmlns=""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xmlns=""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xmlns=""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xmlns=""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xmlns=""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xmlns=""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xmlns=""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xmlns=""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xmlns=""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xmlns=""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xmlns=""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xmlns=""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xmlns=""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xmlns=""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xmlns=""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xmlns=""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xmlns=""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xmlns=""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xmlns=""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xmlns=""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xmlns=""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xmlns=""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xmlns="" id="{B7960B44-C8E9-4F1E-A9E9-67C3B65C9601}"/>
            </a:ext>
          </a:extLst>
        </xdr:cNvPr>
        <xdr:cNvGrpSpPr/>
      </xdr:nvGrpSpPr>
      <xdr:grpSpPr>
        <a:xfrm>
          <a:off x="6705600" y="937892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xmlns=""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xmlns=""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xmlns=""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xmlns="" id="{00000000-0008-0000-0200-000002000000}"/>
              </a:ext>
            </a:extLst>
          </xdr:cNvPr>
          <xdr:cNvPicPr>
            <a:picLocks noChangeAspect="1"/>
          </xdr:cNvPicPr>
        </xdr:nvPicPr>
        <xdr:blipFill rotWithShape="1">
          <a:blip xmlns:r="http://schemas.openxmlformats.org/officeDocument/2006/relationships" r:embed="rId6"/>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xmlns=""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xmlns=""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xmlns=""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xmlns=""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xmlns=""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xmlns=""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xmlns=""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xmlns=""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xmlns=""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xmlns=""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xmlns=""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xmlns=""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xmlns=""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xmlns=""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xmlns=""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xmlns=""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xmlns=""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xmlns=""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xmlns=""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xmlns=""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8" tooltip="Select to learn about filling data automatically in worksheet cells from the web"/>
            <a:extLst>
              <a:ext uri="{FF2B5EF4-FFF2-40B4-BE49-F238E27FC236}">
                <a16:creationId xmlns:a16="http://schemas.microsoft.com/office/drawing/2014/main" xmlns=""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8" tooltip="Select to learn more from the web"/>
            <a:extLst>
              <a:ext uri="{FF2B5EF4-FFF2-40B4-BE49-F238E27FC236}">
                <a16:creationId xmlns:a16="http://schemas.microsoft.com/office/drawing/2014/main" xmlns="" id="{00000000-0008-0000-0200-0000C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1" tooltip="Select to learn about filling a formula down into adjacent cells from the web"/>
            <a:extLst>
              <a:ext uri="{FF2B5EF4-FFF2-40B4-BE49-F238E27FC236}">
                <a16:creationId xmlns:a16="http://schemas.microsoft.com/office/drawing/2014/main" xmlns=""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200-0000C5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xmlns="" id="{00000000-0008-0000-0200-000051000000}"/>
            </a:ext>
          </a:extLst>
        </xdr:cNvPr>
        <xdr:cNvPicPr>
          <a:picLocks noChangeAspect="1"/>
        </xdr:cNvPicPr>
      </xdr:nvPicPr>
      <xdr:blipFill rotWithShape="1">
        <a:blip xmlns:r="http://schemas.openxmlformats.org/officeDocument/2006/relationships" r:embed="rId12">
          <a:extLst>
            <a:ext uri="{BEBA8EAE-BF5A-486C-A8C5-ECC9F3942E4B}">
              <a14:imgProps xmlns:a14="http://schemas.microsoft.com/office/drawing/2010/main">
                <a14:imgLayer r:embed="rId13">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xmlns=""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xmlns=""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xmlns=""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xmlns=""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xmlns=""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xmlns=""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xmlns="" id="{00000000-0008-0000-0200-000049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xmlns="" r:embed="rId15"/>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xmlns=""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xmlns=""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xmlns=""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xmlns=""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xmlns=""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xmlns=""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xmlns=""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xmlns=""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xmlns=""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xmlns=""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xmlns=""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xmlns=""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xmlns=""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xmlns=""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xmlns=""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xmlns=""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xmlns=""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xmlns=""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xmlns=""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xmlns=""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xmlns=""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xmlns=""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xmlns=""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xmlns=""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xmlns=""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xmlns=""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xmlns=""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xmlns=""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xmlns=""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xmlns=""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xmlns=""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xmlns=""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xmlns=""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xmlns=""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xmlns=""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xmlns=""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xmlns=""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xmlns=""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xmlns=""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xmlns=""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xmlns=""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xmlns=""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xmlns=""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xmlns=""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xmlns=""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xmlns=""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xmlns=""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xmlns=""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xmlns=""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xmlns=""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xmlns=""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xmlns=""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xmlns=""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xmlns=""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xmlns=""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xmlns=""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xmlns=""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xmlns=""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xmlns=""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xmlns=""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xmlns=""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xmlns=""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xmlns=""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xmlns=""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xmlns=""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xmlns=""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xmlns=""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xmlns=""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xmlns=""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xmlns=""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xmlns=""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xmlns=""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xmlns=""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xmlns=""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xmlns=""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xmlns=""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xmlns=""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xmlns=""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xmlns=""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xmlns=""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xmlns=""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xmlns=""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xmlns=""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xmlns=""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xmlns=""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xmlns=""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xmlns=""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xmlns=""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xmlns=""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xmlns=""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xmlns=""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xmlns=""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xmlns="" id="{00000000-0008-0000-0300-000002000000}"/>
            </a:ext>
          </a:extLst>
        </xdr:cNvPr>
        <xdr:cNvGrpSpPr/>
      </xdr:nvGrpSpPr>
      <xdr:grpSpPr>
        <a:xfrm>
          <a:off x="8477250" y="8172449"/>
          <a:ext cx="3314700" cy="1704976"/>
          <a:chOff x="8477250" y="8591549"/>
          <a:chExt cx="3314700" cy="1504951"/>
        </a:xfrm>
      </xdr:grpSpPr>
      <xdr:pic>
        <xdr:nvPicPr>
          <xdr:cNvPr id="227" name="Graphic 9" descr="Hike">
            <a:extLst>
              <a:ext uri="{FF2B5EF4-FFF2-40B4-BE49-F238E27FC236}">
                <a16:creationId xmlns:a16="http://schemas.microsoft.com/office/drawing/2014/main" xmlns=""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xmlns=""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xmlns="" id="{1FE5D7EF-C5C1-42CB-8FC8-212383502105}"/>
            </a:ext>
          </a:extLst>
        </xdr:cNvPr>
        <xdr:cNvGrpSpPr/>
      </xdr:nvGrpSpPr>
      <xdr:grpSpPr>
        <a:xfrm>
          <a:off x="323850" y="257175"/>
          <a:ext cx="5695950" cy="4619625"/>
          <a:chOff x="323850" y="257175"/>
          <a:chExt cx="5695950" cy="4619625"/>
        </a:xfrm>
      </xdr:grpSpPr>
      <xdr:grpSp>
        <xdr:nvGrpSpPr>
          <xdr:cNvPr id="10" name="Group 9">
            <a:extLst>
              <a:ext uri="{FF2B5EF4-FFF2-40B4-BE49-F238E27FC236}">
                <a16:creationId xmlns:a16="http://schemas.microsoft.com/office/drawing/2014/main" xmlns=""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xmlns=""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xmlns=""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xmlns=""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xmlns=""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xmlns=""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xmlns=""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xmlns=""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xmlns=""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xmlns=""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xmlns=""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xmlns=""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xmlns=""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xmlns=""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xmlns=""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xmlns=""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xmlns="" id="{EAE844B1-9579-4BCD-9E05-FBB11800A63B}"/>
              </a:ext>
            </a:extLst>
          </xdr:cNvPr>
          <xdr:cNvPicPr>
            <a:picLocks noChangeAspect="1"/>
          </xdr:cNvPicPr>
        </xdr:nvPicPr>
        <xdr:blipFill>
          <a:blip xmlns:r="http://schemas.openxmlformats.org/officeDocument/2006/relationships" r:embed="rId15"/>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xmlns=""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xmlns=""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xmlns=""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xmlns=""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xmlns=""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xmlns=""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xmlns=""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xmlns=""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xmlns=""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xmlns=""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xmlns=""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xmlns=""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xmlns=""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xmlns=""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xmlns=""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xmlns=""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xmlns=""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xmlns=""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xmlns=""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xmlns=""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xmlns=""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xmlns=""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xmlns=""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xmlns=""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xmlns=""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xmlns=""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xmlns=""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xmlns=""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xmlns=""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xmlns=""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xmlns=""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xmlns=""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xmlns=""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xmlns=""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xmlns=""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xmlns=""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xmlns=""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xmlns=""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xmlns=""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xmlns=""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xmlns=""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xmlns=""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xmlns=""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xmlns=""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xmlns=""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xmlns=""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xmlns=""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xmlns=""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xmlns=""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xmlns=""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xmlns=""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xmlns=""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xmlns=""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xmlns=""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r>
              <a:rPr lang="en-US" sz="1100">
                <a:latin typeface="Segoe UI" panose="020B0502040204020203" pitchFamily="34" charset="0"/>
                <a:cs typeface="Segoe UI" panose="020B0502040204020203" pitchFamily="34" charset="0"/>
              </a:rPr>
              <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xmlns=""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xmlns=""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xmlns=""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xmlns=""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xmlns=""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xmlns=""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xmlns=""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xmlns=""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xmlns=""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xmlns=""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xmlns=""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xmlns=""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xmlns=""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xmlns=""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xmlns=""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xmlns=""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xmlns=""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xmlns=""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xmlns=""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xmlns=""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xmlns=""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xmlns=""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xmlns=""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7" tooltip="Select to learn about Transpose (rotate) data from rows to columns or vice versa from the web"/>
            <a:extLst>
              <a:ext uri="{FF2B5EF4-FFF2-40B4-BE49-F238E27FC236}">
                <a16:creationId xmlns:a16="http://schemas.microsoft.com/office/drawing/2014/main" xmlns=""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7" tooltip="Select to learn more from the web"/>
            <a:extLst>
              <a:ext uri="{FF2B5EF4-FFF2-40B4-BE49-F238E27FC236}">
                <a16:creationId xmlns:a16="http://schemas.microsoft.com/office/drawing/2014/main" xmlns="" id="{00000000-0008-0000-0400-0000C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0" tooltip="Select to learn all about the TRANSPOSE function from the web"/>
            <a:extLst>
              <a:ext uri="{FF2B5EF4-FFF2-40B4-BE49-F238E27FC236}">
                <a16:creationId xmlns:a16="http://schemas.microsoft.com/office/drawing/2014/main" xmlns=""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0" tooltip="Select to learn more from the web"/>
            <a:extLst>
              <a:ext uri="{FF2B5EF4-FFF2-40B4-BE49-F238E27FC236}">
                <a16:creationId xmlns:a16="http://schemas.microsoft.com/office/drawing/2014/main" xmlns=""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1" tooltip="Select to learn about creating an array formula from the web"/>
            <a:extLst>
              <a:ext uri="{FF2B5EF4-FFF2-40B4-BE49-F238E27FC236}">
                <a16:creationId xmlns:a16="http://schemas.microsoft.com/office/drawing/2014/main" xmlns=""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xmlns=""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2"/>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xmlns=""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xmlns="" id="{00000000-0008-0000-0400-000004000000}"/>
            </a:ext>
          </a:extLst>
        </xdr:cNvPr>
        <xdr:cNvGrpSpPr/>
      </xdr:nvGrpSpPr>
      <xdr:grpSpPr>
        <a:xfrm>
          <a:off x="8448675" y="2047875"/>
          <a:ext cx="1581150" cy="948102"/>
          <a:chOff x="8448675" y="2143125"/>
          <a:chExt cx="1581150" cy="948102"/>
        </a:xfrm>
      </xdr:grpSpPr>
      <xdr:pic>
        <xdr:nvPicPr>
          <xdr:cNvPr id="107" name="Graphic 2" descr="Owl">
            <a:extLst>
              <a:ext uri="{FF2B5EF4-FFF2-40B4-BE49-F238E27FC236}">
                <a16:creationId xmlns:a16="http://schemas.microsoft.com/office/drawing/2014/main" xmlns="" id="{00000000-0008-0000-0400-00006B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xmlns=""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xmlns="" id="{00000000-0008-0000-0500-000006000000}"/>
            </a:ext>
          </a:extLst>
        </xdr:cNvPr>
        <xdr:cNvGrpSpPr/>
      </xdr:nvGrpSpPr>
      <xdr:grpSpPr>
        <a:xfrm>
          <a:off x="6372225" y="3238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xmlns=""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xmlns=""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xmlns=""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xmlns=""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xmlns=""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xmlns=""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xmlns=""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xmlns=""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xmlns=""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xmlns=""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xmlns=""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xmlns=""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xmlns=""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xmlns=""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xmlns=""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xmlns=""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xmlns=""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xmlns=""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xmlns=""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xmlns="" id="{00000000-0008-0000-0500-00005E000000}"/>
              </a:ext>
            </a:extLst>
          </xdr:cNvPr>
          <xdr:cNvPicPr>
            <a:picLocks noChangeAspect="1"/>
          </xdr:cNvPicPr>
        </xdr:nvPicPr>
        <xdr:blipFill rotWithShape="1">
          <a:blip xmlns:r="http://schemas.openxmlformats.org/officeDocument/2006/relationships" r:embed="rId4"/>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xmlns="" id="{00000000-0008-0000-0500-00005F000000}"/>
              </a:ext>
            </a:extLst>
          </xdr:cNvPr>
          <xdr:cNvPicPr>
            <a:picLocks noChangeAspect="1"/>
          </xdr:cNvPicPr>
        </xdr:nvPicPr>
        <xdr:blipFill rotWithShape="1">
          <a:blip xmlns:r="http://schemas.openxmlformats.org/officeDocument/2006/relationships" r:embed="rId4"/>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xmlns="" id="{00000000-0008-0000-0500-00006A000000}"/>
            </a:ext>
          </a:extLst>
        </xdr:cNvPr>
        <xdr:cNvGrpSpPr/>
      </xdr:nvGrpSpPr>
      <xdr:grpSpPr>
        <a:xfrm>
          <a:off x="390525" y="5514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xmlns=""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xmlns=""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xmlns=""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xmlns=""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xmlns=""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xmlns=""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xmlns=""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xmlns=""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xmlns=""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xmlns="" id="{CE79A11A-3679-4FE1-8870-918EA0DF3948}"/>
            </a:ext>
          </a:extLst>
        </xdr:cNvPr>
        <xdr:cNvGrpSpPr/>
      </xdr:nvGrpSpPr>
      <xdr:grpSpPr>
        <a:xfrm>
          <a:off x="9658350" y="6210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xmlns="" id="{00000000-0008-0000-0500-00007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xmlns=""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xmlns=""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xmlns=""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xmlns=""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xmlns=""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xmlns=""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xmlns=""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xmlns=""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xmlns=""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xmlns=""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xmlns=""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xmlns="" id="{00000000-0008-0000-0500-000083000000}"/>
              </a:ext>
            </a:extLst>
          </xdr:cNvPr>
          <xdr:cNvPicPr>
            <a:picLocks noChangeAspect="1"/>
          </xdr:cNvPicPr>
        </xdr:nvPicPr>
        <xdr:blipFill rotWithShape="1">
          <a:blip xmlns:r="http://schemas.openxmlformats.org/officeDocument/2006/relationships" r:embed="rId4"/>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xmlns="" id="{00000000-0008-0000-0500-000084000000}"/>
              </a:ext>
            </a:extLst>
          </xdr:cNvPr>
          <xdr:cNvPicPr>
            <a:picLocks noChangeAspect="1"/>
          </xdr:cNvPicPr>
        </xdr:nvPicPr>
        <xdr:blipFill rotWithShape="1">
          <a:blip xmlns:r="http://schemas.openxmlformats.org/officeDocument/2006/relationships" r:embed="rId4"/>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xmlns=""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xmlns=""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xmlns=""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xmlns=""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xmlns=""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xmlns=""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xmlns=""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8" tooltip="Select to learn about sorting data in a range or table from the web"/>
            <a:extLst>
              <a:ext uri="{FF2B5EF4-FFF2-40B4-BE49-F238E27FC236}">
                <a16:creationId xmlns:a16="http://schemas.microsoft.com/office/drawing/2014/main" xmlns=""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8" tooltip="Select to learn more from the web"/>
            <a:extLst>
              <a:ext uri="{FF2B5EF4-FFF2-40B4-BE49-F238E27FC236}">
                <a16:creationId xmlns:a16="http://schemas.microsoft.com/office/drawing/2014/main" xmlns="" id="{00000000-0008-0000-0500-00009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1" tooltip="Select to learn about filtering data in a range or table from the web"/>
            <a:extLst>
              <a:ext uri="{FF2B5EF4-FFF2-40B4-BE49-F238E27FC236}">
                <a16:creationId xmlns:a16="http://schemas.microsoft.com/office/drawing/2014/main" xmlns=""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500-00009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xmlns=""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xmlns=""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xmlns=""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xmlns=""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xmlns=""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xmlns=""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xmlns=""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xmlns=""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xmlns=""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xmlns=""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xmlns=""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xmlns=""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xmlns=""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xmlns=""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xmlns=""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xmlns=""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xmlns=""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xmlns="" id="{00000000-0008-0000-0600-000071000000}"/>
              </a:ext>
            </a:extLst>
          </xdr:cNvPr>
          <xdr:cNvPicPr>
            <a:picLocks noChangeAspect="1"/>
          </xdr:cNvPicPr>
        </xdr:nvPicPr>
        <xdr:blipFill rotWithShape="1">
          <a:blip xmlns:r="http://schemas.openxmlformats.org/officeDocument/2006/relationships" r:embed="rId2"/>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xmlns=""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xmlns=""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xmlns=""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xmlns=""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xmlns=""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xmlns=""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xmlns=""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xmlns=""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xmlns=""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xmlns=""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xmlns=""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xmlns=""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xmlns=""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xmlns=""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xmlns=""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xmlns=""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xmlns=""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xmlns="" id="{BFEA1FE4-89AC-4625-8F8A-07828BBC6514}"/>
            </a:ext>
          </a:extLst>
        </xdr:cNvPr>
        <xdr:cNvGrpSpPr/>
      </xdr:nvGrpSpPr>
      <xdr:grpSpPr>
        <a:xfrm>
          <a:off x="8820150" y="11515725"/>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xmlns=""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xmlns="" id="{00000000-0008-0000-0600-000085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xmlns=""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xmlns=""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xmlns="" id="{00000000-0008-0000-0600-000089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xmlns=""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xmlns="" id="{00000000-0008-0000-0600-00008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xmlns=""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xmlns=""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xmlns=""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xmlns=""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xmlns=""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xmlns=""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xmlns=""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xmlns=""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xmlns=""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xmlns=""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xmlns=""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xmlns=""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xmlns=""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xmlns=""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xmlns=""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xmlns=""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xmlns=""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xmlns=""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xmlns=""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xmlns="" id="{00000000-0008-0000-0600-00009E000000}"/>
              </a:ext>
            </a:extLst>
          </xdr:cNvPr>
          <xdr:cNvPicPr>
            <a:picLocks noChangeAspect="1"/>
          </xdr:cNvPicPr>
        </xdr:nvPicPr>
        <xdr:blipFill rotWithShape="1">
          <a:blip xmlns:r="http://schemas.openxmlformats.org/officeDocument/2006/relationships" r:embed="rId9"/>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xmlns="" id="{00000000-0008-0000-0600-000002000000}"/>
            </a:ext>
          </a:extLst>
        </xdr:cNvPr>
        <xdr:cNvGrpSpPr/>
      </xdr:nvGrpSpPr>
      <xdr:grpSpPr>
        <a:xfrm>
          <a:off x="385765" y="14087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xmlns=""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xmlns=""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xmlns=""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0" tooltip="Select to go back to cell A1 in this worksheet"/>
            <a:extLst>
              <a:ext uri="{FF2B5EF4-FFF2-40B4-BE49-F238E27FC236}">
                <a16:creationId xmlns:a16="http://schemas.microsoft.com/office/drawing/2014/main" xmlns=""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xmlns=""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1" tooltip="Select to learn an overview of Excel tables from the web"/>
            <a:extLst>
              <a:ext uri="{FF2B5EF4-FFF2-40B4-BE49-F238E27FC236}">
                <a16:creationId xmlns:a16="http://schemas.microsoft.com/office/drawing/2014/main" xmlns=""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600-0000A7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4" tooltip="Select to learn about Total the data in an Excel table from the web"/>
            <a:extLst>
              <a:ext uri="{FF2B5EF4-FFF2-40B4-BE49-F238E27FC236}">
                <a16:creationId xmlns:a16="http://schemas.microsoft.com/office/drawing/2014/main" xmlns=""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4" tooltip="Select to learn more from the web"/>
            <a:extLst>
              <a:ext uri="{FF2B5EF4-FFF2-40B4-BE49-F238E27FC236}">
                <a16:creationId xmlns:a16="http://schemas.microsoft.com/office/drawing/2014/main" xmlns="" id="{00000000-0008-0000-0600-0000A9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5" tooltip="Select to learn about using calculated columns in an Excel table from the web"/>
            <a:extLst>
              <a:ext uri="{FF2B5EF4-FFF2-40B4-BE49-F238E27FC236}">
                <a16:creationId xmlns:a16="http://schemas.microsoft.com/office/drawing/2014/main" xmlns=""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5" tooltip="Select to learn more from the web"/>
            <a:extLst>
              <a:ext uri="{FF2B5EF4-FFF2-40B4-BE49-F238E27FC236}">
                <a16:creationId xmlns:a16="http://schemas.microsoft.com/office/drawing/2014/main" xmlns="" id="{00000000-0008-0000-0600-0000AB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xmlns=""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xmlns=""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xmlns=""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xmlns=""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xmlns=""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xmlns=""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xmlns=""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xmlns=""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xmlns=""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xmlns=""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xmlns=""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xmlns=""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xmlns=""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xmlns=""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xmlns=""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xmlns=""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xmlns=""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xmlns=""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xmlns=""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xmlns=""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xmlns=""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xmlns=""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xmlns=""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xmlns=""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xmlns=""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xmlns=""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xmlns=""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xmlns=""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xmlns=""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xmlns=""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xmlns=""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xmlns=""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xmlns=""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xmlns=""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xmlns=""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xmlns=""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xmlns=""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xmlns=""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xmlns=""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xmlns=""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xmlns=""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xmlns="" id="{00000000-0008-0000-0700-000004000000}"/>
              </a:ext>
            </a:extLst>
          </xdr:cNvPr>
          <xdr:cNvPicPr>
            <a:picLocks noChangeAspect="1"/>
          </xdr:cNvPicPr>
        </xdr:nvPicPr>
        <xdr:blipFill rotWithShape="1">
          <a:blip xmlns:r="http://schemas.openxmlformats.org/officeDocument/2006/relationships" r:embed="rId2"/>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xmlns="" id="{00000000-0008-0000-0700-000005000000}"/>
              </a:ext>
            </a:extLst>
          </xdr:cNvPr>
          <xdr:cNvPicPr>
            <a:picLocks noChangeAspect="1"/>
          </xdr:cNvPicPr>
        </xdr:nvPicPr>
        <xdr:blipFill rotWithShape="1">
          <a:blip xmlns:r="http://schemas.openxmlformats.org/officeDocument/2006/relationships" r:embed="rId3"/>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xmlns="" id="{2AF5B3F9-EEED-4EA5-9B9D-98766FAF035D}"/>
            </a:ext>
          </a:extLst>
        </xdr:cNvPr>
        <xdr:cNvGrpSpPr/>
      </xdr:nvGrpSpPr>
      <xdr:grpSpPr>
        <a:xfrm>
          <a:off x="8591550"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xmlns=""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xmlns="" id="{00000000-0008-0000-07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xmlns=""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xmlns="" id="{7ED50FD9-FB74-4E6E-A9E0-3ECD4AF03D09}"/>
            </a:ext>
          </a:extLst>
        </xdr:cNvPr>
        <xdr:cNvGrpSpPr/>
      </xdr:nvGrpSpPr>
      <xdr:grpSpPr>
        <a:xfrm>
          <a:off x="8572500"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xmlns=""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xmlns="" id="{00000000-0008-0000-07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xmlns=""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xmlns=""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xmlns=""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xmlns=""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xmlns=""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xmlns=""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9" tooltip="Select to learn about applying data validation to cells from the web"/>
            <a:extLst>
              <a:ext uri="{FF2B5EF4-FFF2-40B4-BE49-F238E27FC236}">
                <a16:creationId xmlns:a16="http://schemas.microsoft.com/office/drawing/2014/main" xmlns=""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9" tooltip="Select to learn more from the web"/>
            <a:extLst>
              <a:ext uri="{FF2B5EF4-FFF2-40B4-BE49-F238E27FC236}">
                <a16:creationId xmlns:a16="http://schemas.microsoft.com/office/drawing/2014/main" xmlns="" id="{00000000-0008-0000-07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2" tooltip="Select to learn about creating a drop-down list from the web"/>
            <a:extLst>
              <a:ext uri="{FF2B5EF4-FFF2-40B4-BE49-F238E27FC236}">
                <a16:creationId xmlns:a16="http://schemas.microsoft.com/office/drawing/2014/main" xmlns=""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2" tooltip="Select to learn more from the web"/>
            <a:extLst>
              <a:ext uri="{FF2B5EF4-FFF2-40B4-BE49-F238E27FC236}">
                <a16:creationId xmlns:a16="http://schemas.microsoft.com/office/drawing/2014/main" xmlns="" id="{00000000-0008-0000-0700-00009A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xmlns=""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xmlns=""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xmlns=""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xmlns=""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xmlns=""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xmlns=""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xmlns=""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xmlns=""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xmlns=""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xmlns=""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xmlns=""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xmlns=""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xmlns=""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xmlns=""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xmlns=""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xmlns=""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xmlns=""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xmlns=""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xmlns=""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xmlns=""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xmlns=""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xmlns=""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xmlns=""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xmlns=""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xmlns=""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xmlns=""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xmlns=""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xmlns=""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xmlns=""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xmlns=""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xmlns=""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xmlns=""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xmlns=""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xmlns=""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xmlns=""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xmlns=""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xmlns=""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xmlns=""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xmlns=""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xmlns=""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xmlns=""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xmlns=""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xmlns=""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xmlns=""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xmlns=""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xmlns=""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xmlns=""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xmlns=""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extLst>
              <a:ext uri="{FF2B5EF4-FFF2-40B4-BE49-F238E27FC236}">
                <a16:creationId xmlns:a16="http://schemas.microsoft.com/office/drawing/2014/main" xmlns=""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xmlns=""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xmlns=""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xmlns=""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xmlns=""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xmlns=""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xmlns=""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xmlns=""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xmlns=""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xmlns=""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xmlns=""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xmlns=""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xmlns="" id="{00000000-0008-0000-0800-000090000000}"/>
              </a:ext>
            </a:extLst>
          </xdr:cNvPr>
          <xdr:cNvPicPr>
            <a:picLocks noChangeAspect="1"/>
          </xdr:cNvPicPr>
        </xdr:nvPicPr>
        <xdr:blipFill rotWithShape="1">
          <a:blip xmlns:r="http://schemas.openxmlformats.org/officeDocument/2006/relationships" r:embed="rId7"/>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xmlns="" id="{00000000-0008-0000-0800-000097000000}"/>
              </a:ext>
            </a:extLst>
          </xdr:cNvPr>
          <xdr:cNvPicPr>
            <a:picLocks noChangeAspect="1"/>
          </xdr:cNvPicPr>
        </xdr:nvPicPr>
        <xdr:blipFill rotWithShape="1">
          <a:blip xmlns:r="http://schemas.openxmlformats.org/officeDocument/2006/relationships" r:embed="rId7"/>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xmlns=""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xmlns=""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xmlns="" id="{00000000-0008-0000-0800-00009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xmlns="" id="{00000000-0008-0000-0800-000098000000}"/>
              </a:ext>
            </a:extLst>
          </xdr:cNvPr>
          <xdr:cNvPicPr>
            <a:picLocks noChangeAspect="1"/>
          </xdr:cNvPicPr>
        </xdr:nvPicPr>
        <xdr:blipFill rotWithShape="1">
          <a:blip xmlns:r="http://schemas.openxmlformats.org/officeDocument/2006/relationships" r:embed="rId7"/>
          <a:srcRect l="29498" t="32404" r="36228" b="19590"/>
          <a:stretch/>
        </xdr:blipFill>
        <xdr:spPr>
          <a:xfrm>
            <a:off x="9881513" y="3480197"/>
            <a:ext cx="243562" cy="241511"/>
          </a:xfrm>
          <a:prstGeom prst="rect">
            <a:avLst/>
          </a:prstGeom>
        </xdr:spPr>
      </xdr:pic>
    </xdr:grpSp>
    <xdr:clientData/>
  </xdr:twoCellAnchor>
  <xdr:twoCellAnchor>
    <xdr:from>
      <xdr:col>7</xdr:col>
      <xdr:colOff>209550</xdr:colOff>
      <xdr:row>1</xdr:row>
      <xdr:rowOff>128587</xdr:rowOff>
    </xdr:from>
    <xdr:to>
      <xdr:col>15</xdr:col>
      <xdr:colOff>57150</xdr:colOff>
      <xdr:row>16</xdr:row>
      <xdr:rowOff>14287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xmlns=""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xmlns=""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xmlns=""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he units sold for each month.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xmlns=""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xmlns=""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xmlns=""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xmlns=""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xmlns=""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xmlns=""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xmlns=""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xmlns=""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xmlns=""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xmlns=""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xmlns=""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he units sold for each month. Feel free to move it anywhere you'd like">
            <a:extLst>
              <a:ext uri="{FF2B5EF4-FFF2-40B4-BE49-F238E27FC236}">
                <a16:creationId xmlns:a16="http://schemas.microsoft.com/office/drawing/2014/main" xmlns=""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the units sold for each year. Feel free to move it anywhere you'd like.</a:t>
            </a:r>
          </a:p>
        </xdr:txBody>
      </xdr:sp>
      <xdr:sp macro="" textlink="">
        <xdr:nvSpPr>
          <xdr:cNvPr id="89" name="Oval 88" descr="3">
            <a:extLst>
              <a:ext uri="{FF2B5EF4-FFF2-40B4-BE49-F238E27FC236}">
                <a16:creationId xmlns:a16="http://schemas.microsoft.com/office/drawing/2014/main" xmlns=""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xmlns=""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xmlns=""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xmlns=""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xmlns=""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2012, 2013, and so on, so this is a category axis">
          <a:extLst>
            <a:ext uri="{FF2B5EF4-FFF2-40B4-BE49-F238E27FC236}">
              <a16:creationId xmlns:a16="http://schemas.microsoft.com/office/drawing/2014/main" xmlns=""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xmlns=""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xmlns=""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xmlns=""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xmlns=""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2012, 2013, and so on, so this is a category axis">
            <a:extLst>
              <a:ext uri="{FF2B5EF4-FFF2-40B4-BE49-F238E27FC236}">
                <a16:creationId xmlns:a16="http://schemas.microsoft.com/office/drawing/2014/main" xmlns=""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 2012, 2013, and so on, 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xmlns=""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xmlns=""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xmlns=""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xmlns=""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xmlns=""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xmlns=""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xmlns=""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xmlns=""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xmlns=""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xmlns=""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xmlns=""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xmlns=""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xmlns=""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xmlns=""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xmlns=""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xmlns=""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36" name="Freeform: Shape 135" descr="Bracket line">
            <a:extLst>
              <a:ext uri="{FF2B5EF4-FFF2-40B4-BE49-F238E27FC236}">
                <a16:creationId xmlns:a16="http://schemas.microsoft.com/office/drawing/2014/main" xmlns=""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xmlns=""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xmlns=""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xmlns=""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xmlns=""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xmlns=""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xmlns=""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xmlns=""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xmlns=""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xmlns=""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xmlns=""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xmlns=""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xmlns=""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xmlns=""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xmlns=""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xmlns=""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xmlns=""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xmlns=""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xmlns=""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xmlns=""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0" tooltip="Select to learn about creating a combo chart with a secondary axis from the web"/>
            <a:extLst>
              <a:ext uri="{FF2B5EF4-FFF2-40B4-BE49-F238E27FC236}">
                <a16:creationId xmlns:a16="http://schemas.microsoft.com/office/drawing/2014/main" xmlns=""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xmlns=""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1" tooltip="Select to learn about Available chart types in Office from the web"/>
            <a:extLst>
              <a:ext uri="{FF2B5EF4-FFF2-40B4-BE49-F238E27FC236}">
                <a16:creationId xmlns:a16="http://schemas.microsoft.com/office/drawing/2014/main" xmlns=""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1" tooltip="Select to learn more from the web"/>
            <a:extLst>
              <a:ext uri="{FF2B5EF4-FFF2-40B4-BE49-F238E27FC236}">
                <a16:creationId xmlns:a16="http://schemas.microsoft.com/office/drawing/2014/main" xmlns="" id="{00000000-0008-0000-0900-00009E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136251</xdr:colOff>
      <xdr:row>73</xdr:row>
      <xdr:rowOff>142875</xdr:rowOff>
    </xdr:to>
    <xdr:grpSp>
      <xdr:nvGrpSpPr>
        <xdr:cNvPr id="2" name="Secondary axis data" descr="Data that supports the secondary axis above">
          <a:extLst>
            <a:ext uri="{FF2B5EF4-FFF2-40B4-BE49-F238E27FC236}">
              <a16:creationId xmlns:a16="http://schemas.microsoft.com/office/drawing/2014/main" xmlns="" id="{00000000-0008-0000-0900-000002000000}"/>
            </a:ext>
          </a:extLst>
        </xdr:cNvPr>
        <xdr:cNvGrpSpPr/>
      </xdr:nvGrpSpPr>
      <xdr:grpSpPr>
        <a:xfrm>
          <a:off x="11658600" y="13392149"/>
          <a:ext cx="1212576" cy="1228726"/>
          <a:chOff x="11627124" y="13830299"/>
          <a:chExt cx="1212576" cy="1228726"/>
        </a:xfrm>
      </xdr:grpSpPr>
      <xdr:sp macro="" textlink="">
        <xdr:nvSpPr>
          <xdr:cNvPr id="160" name="Freeform: Shape 159" descr="Bracket line">
            <a:extLst>
              <a:ext uri="{FF2B5EF4-FFF2-40B4-BE49-F238E27FC236}">
                <a16:creationId xmlns:a16="http://schemas.microsoft.com/office/drawing/2014/main" xmlns=""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xmlns=""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xmlns=""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xmlns=""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xmlns="" id="{00000000-0008-0000-0900-0000A4000000}"/>
              </a:ext>
            </a:extLst>
          </xdr:cNvPr>
          <xdr:cNvSpPr txBox="1"/>
        </xdr:nvSpPr>
        <xdr:spPr>
          <a:xfrm>
            <a:off x="11849099" y="13928556"/>
            <a:ext cx="990601" cy="1130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xmlns=""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xmlns=""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xmlns=""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15256726"/>
            <a:ext cx="471716" cy="439736"/>
          </a:xfrm>
          <a:prstGeom prst="rect">
            <a:avLst/>
          </a:prstGeom>
        </xdr:spPr>
      </xdr:pic>
    </xdr:grpSp>
    <xdr:clientData/>
  </xdr:twoCellAnchor>
  <xdr:twoCellAnchor>
    <xdr:from>
      <xdr:col>4</xdr:col>
      <xdr:colOff>1333500</xdr:colOff>
      <xdr:row>3</xdr:row>
      <xdr:rowOff>109537</xdr:rowOff>
    </xdr:from>
    <xdr:to>
      <xdr:col>11</xdr:col>
      <xdr:colOff>323850</xdr:colOff>
      <xdr:row>17</xdr:row>
      <xdr:rowOff>185737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9525</xdr:colOff>
      <xdr:row>82</xdr:row>
      <xdr:rowOff>128587</xdr:rowOff>
    </xdr:from>
    <xdr:to>
      <xdr:col>6</xdr:col>
      <xdr:colOff>323850</xdr:colOff>
      <xdr:row>97</xdr:row>
      <xdr:rowOff>14287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xmlns=""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xmlns=""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xmlns=""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xmlns=""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xmlns=""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xmlns=""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xmlns=""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xmlns=""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xmlns=""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xmlns=""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xmlns=""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xmlns=""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xmlns=""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xmlns=""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xmlns=""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xmlns=""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xmlns=""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xmlns=""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xmlns=""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xmlns=""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xmlns=""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xmlns=""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xmlns=""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xmlns=""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xmlns=""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xmlns=""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xmlns=""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xmlns=""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xmlns=""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xmlns=""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xmlns=""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xmlns=""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xmlns=""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xmlns=""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xmlns="" id="{00000000-0008-0000-0A00-00007A000000}"/>
              </a:ext>
            </a:extLst>
          </xdr:cNvPr>
          <xdr:cNvPicPr>
            <a:picLocks noChangeAspect="1"/>
          </xdr:cNvPicPr>
        </xdr:nvPicPr>
        <xdr:blipFill rotWithShape="1">
          <a:blip xmlns:r="http://schemas.openxmlformats.org/officeDocument/2006/relationships" r:embed="rId2"/>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xmlns="" id="{00000000-0008-0000-0A00-00007B000000}"/>
              </a:ext>
            </a:extLst>
          </xdr:cNvPr>
          <xdr:cNvPicPr>
            <a:picLocks noChangeAspect="1"/>
          </xdr:cNvPicPr>
        </xdr:nvPicPr>
        <xdr:blipFill rotWithShape="1">
          <a:blip xmlns:r="http://schemas.openxmlformats.org/officeDocument/2006/relationships" r:embed="rId2"/>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xmlns=""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xmlns=""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xmlns=""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xmlns=""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xmlns=""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xmlns=""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xmlns=""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4" tooltip="Select to learn creating a PivotTable to analyze worksheet data from the web"/>
            <a:extLst>
              <a:ext uri="{FF2B5EF4-FFF2-40B4-BE49-F238E27FC236}">
                <a16:creationId xmlns:a16="http://schemas.microsoft.com/office/drawing/2014/main" xmlns=""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4" tooltip="Select to learn more from the web"/>
            <a:extLst>
              <a:ext uri="{FF2B5EF4-FFF2-40B4-BE49-F238E27FC236}">
                <a16:creationId xmlns:a16="http://schemas.microsoft.com/office/drawing/2014/main" xmlns="" id="{00000000-0008-0000-0A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7" tooltip="Select to learn about using the Field List to arrange fields in a PivotTable from the web"/>
            <a:extLst>
              <a:ext uri="{FF2B5EF4-FFF2-40B4-BE49-F238E27FC236}">
                <a16:creationId xmlns:a16="http://schemas.microsoft.com/office/drawing/2014/main" xmlns=""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7" tooltip="Select to learn more from the web"/>
            <a:extLst>
              <a:ext uri="{FF2B5EF4-FFF2-40B4-BE49-F238E27FC236}">
                <a16:creationId xmlns:a16="http://schemas.microsoft.com/office/drawing/2014/main" xmlns="" id="{00000000-0008-0000-0A00-000091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804912</xdr:colOff>
      <xdr:row>13</xdr:row>
      <xdr:rowOff>72761</xdr:rowOff>
    </xdr:to>
    <xdr:grpSp>
      <xdr:nvGrpSpPr>
        <xdr:cNvPr id="2" name="PivotTable Arrow" descr="Arrow pointing towards Pivot Table">
          <a:extLst>
            <a:ext uri="{FF2B5EF4-FFF2-40B4-BE49-F238E27FC236}">
              <a16:creationId xmlns:a16="http://schemas.microsoft.com/office/drawing/2014/main" xmlns=""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xmlns=""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xmlns=""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xmlns=""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xmlns=""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xmlns=""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xmlns=""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xmlns=""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xmlns=""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xmlns=""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xmlns=""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33" name="Freeform 10" descr="Hyperlinked to Give us feedback on this tour">
              <a:hlinkClick xmlns:r="http://schemas.openxmlformats.org/officeDocument/2006/relationships" r:id="rId1" tooltip="Select to Give us feedback on this tour"/>
              <a:extLst>
                <a:ext uri="{FF2B5EF4-FFF2-40B4-BE49-F238E27FC236}">
                  <a16:creationId xmlns:a16="http://schemas.microsoft.com/office/drawing/2014/main" xmlns="" id="{2EA9304F-7979-4DF1-8501-5617DAD10CBF}"/>
                </a:ext>
              </a:extLst>
            </xdr:cNvPr>
            <xdr:cNvSpPr/>
          </xdr:nvSpPr>
          <xdr:spPr>
            <a:xfrm>
              <a:off x="8963466" y="4918631"/>
              <a:ext cx="433255" cy="431500"/>
            </a:xfrm>
            <a:custGeom>
              <a:avLst/>
              <a:gdLst>
                <a:gd name="connsiteX0" fmla="*/ 283692 w 643468"/>
                <a:gd name="connsiteY0" fmla="*/ 156886 h 643468"/>
                <a:gd name="connsiteX1" fmla="*/ 315574 w 643468"/>
                <a:gd name="connsiteY1" fmla="*/ 156886 h 643468"/>
                <a:gd name="connsiteX2" fmla="*/ 486582 w 643468"/>
                <a:gd name="connsiteY2" fmla="*/ 321734 h 643468"/>
                <a:gd name="connsiteX3" fmla="*/ 315574 w 643468"/>
                <a:gd name="connsiteY3" fmla="*/ 486582 h 643468"/>
                <a:gd name="connsiteX4" fmla="*/ 283692 w 643468"/>
                <a:gd name="connsiteY4" fmla="*/ 486582 h 643468"/>
                <a:gd name="connsiteX5" fmla="*/ 441545 w 643468"/>
                <a:gd name="connsiteY5" fmla="*/ 334415 h 643468"/>
                <a:gd name="connsiteX6" fmla="*/ 156887 w 643468"/>
                <a:gd name="connsiteY6" fmla="*/ 334415 h 643468"/>
                <a:gd name="connsiteX7" fmla="*/ 156887 w 643468"/>
                <a:gd name="connsiteY7" fmla="*/ 309054 h 643468"/>
                <a:gd name="connsiteX8" fmla="*/ 441545 w 643468"/>
                <a:gd name="connsiteY8" fmla="*/ 309054 h 643468"/>
                <a:gd name="connsiteX9" fmla="*/ 321733 w 643468"/>
                <a:gd name="connsiteY9" fmla="*/ 16937 h 643468"/>
                <a:gd name="connsiteX10" fmla="*/ 16936 w 643468"/>
                <a:gd name="connsiteY10" fmla="*/ 321734 h 643468"/>
                <a:gd name="connsiteX11" fmla="*/ 321733 w 643468"/>
                <a:gd name="connsiteY11" fmla="*/ 626531 h 643468"/>
                <a:gd name="connsiteX12" fmla="*/ 626530 w 643468"/>
                <a:gd name="connsiteY12" fmla="*/ 321734 h 643468"/>
                <a:gd name="connsiteX13" fmla="*/ 321733 w 643468"/>
                <a:gd name="connsiteY13" fmla="*/ 16937 h 643468"/>
                <a:gd name="connsiteX14" fmla="*/ 321734 w 643468"/>
                <a:gd name="connsiteY14" fmla="*/ 0 h 643468"/>
                <a:gd name="connsiteX15" fmla="*/ 643468 w 643468"/>
                <a:gd name="connsiteY15" fmla="*/ 321734 h 643468"/>
                <a:gd name="connsiteX16" fmla="*/ 321734 w 643468"/>
                <a:gd name="connsiteY16" fmla="*/ 643468 h 643468"/>
                <a:gd name="connsiteX17" fmla="*/ 0 w 643468"/>
                <a:gd name="connsiteY17" fmla="*/ 321734 h 643468"/>
                <a:gd name="connsiteX18" fmla="*/ 321734 w 643468"/>
                <a:gd name="connsiteY18" fmla="*/ 0 h 6434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643468" h="643468">
                  <a:moveTo>
                    <a:pt x="283692" y="156886"/>
                  </a:moveTo>
                  <a:lnTo>
                    <a:pt x="315574" y="156886"/>
                  </a:lnTo>
                  <a:lnTo>
                    <a:pt x="486582" y="321734"/>
                  </a:lnTo>
                  <a:lnTo>
                    <a:pt x="315574" y="486582"/>
                  </a:lnTo>
                  <a:lnTo>
                    <a:pt x="283692" y="486582"/>
                  </a:lnTo>
                  <a:lnTo>
                    <a:pt x="441545" y="334415"/>
                  </a:lnTo>
                  <a:lnTo>
                    <a:pt x="156887" y="334415"/>
                  </a:lnTo>
                  <a:lnTo>
                    <a:pt x="156887" y="309054"/>
                  </a:lnTo>
                  <a:lnTo>
                    <a:pt x="441545" y="309054"/>
                  </a:lnTo>
                  <a:close/>
                  <a:moveTo>
                    <a:pt x="321733" y="16937"/>
                  </a:moveTo>
                  <a:cubicBezTo>
                    <a:pt x="153398" y="16937"/>
                    <a:pt x="16936" y="153399"/>
                    <a:pt x="16936" y="321734"/>
                  </a:cubicBezTo>
                  <a:cubicBezTo>
                    <a:pt x="16936" y="490069"/>
                    <a:pt x="153398" y="626531"/>
                    <a:pt x="321733" y="626531"/>
                  </a:cubicBezTo>
                  <a:cubicBezTo>
                    <a:pt x="490068" y="626531"/>
                    <a:pt x="626530" y="490069"/>
                    <a:pt x="626530" y="321734"/>
                  </a:cubicBezTo>
                  <a:cubicBezTo>
                    <a:pt x="626530" y="153399"/>
                    <a:pt x="490068" y="16937"/>
                    <a:pt x="321733" y="16937"/>
                  </a:cubicBezTo>
                  <a:close/>
                  <a:moveTo>
                    <a:pt x="321734" y="0"/>
                  </a:moveTo>
                  <a:cubicBezTo>
                    <a:pt x="499423" y="0"/>
                    <a:pt x="643468" y="144045"/>
                    <a:pt x="643468" y="321734"/>
                  </a:cubicBezTo>
                  <a:cubicBezTo>
                    <a:pt x="643468" y="499423"/>
                    <a:pt x="499423" y="643468"/>
                    <a:pt x="321734" y="643468"/>
                  </a:cubicBezTo>
                  <a:cubicBezTo>
                    <a:pt x="144045" y="643468"/>
                    <a:pt x="0" y="499423"/>
                    <a:pt x="0" y="321734"/>
                  </a:cubicBezTo>
                  <a:cubicBezTo>
                    <a:pt x="0" y="144045"/>
                    <a:pt x="144045" y="0"/>
                    <a:pt x="321734" y="0"/>
                  </a:cubicBezTo>
                  <a:close/>
                </a:path>
              </a:pathLst>
            </a:cu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1"/>
                  </a:solidFill>
                </a:rPr>
                <a:t> </a:t>
              </a:r>
            </a:p>
          </xdr:txBody>
        </xdr:sp>
        <xdr:sp macro="" textlink="">
          <xdr:nvSpPr>
            <xdr:cNvPr id="34" name="TextBox 33" descr="Give us feedback on this tour">
              <a:hlinkClick xmlns:r="http://schemas.openxmlformats.org/officeDocument/2006/relationships" r:id="rId1" tooltip="Select to Give us feedback on this tour"/>
              <a:extLst>
                <a:ext uri="{FF2B5EF4-FFF2-40B4-BE49-F238E27FC236}">
                  <a16:creationId xmlns:a16="http://schemas.microsoft.com/office/drawing/2014/main" xmlns="" id="{318F510E-835F-4A46-BBFA-F381E12E7F76}"/>
                </a:ext>
              </a:extLst>
            </xdr:cNvPr>
            <xdr:cNvSpPr txBox="1"/>
          </xdr:nvSpPr>
          <xdr:spPr>
            <a:xfrm>
              <a:off x="4299404" y="4900655"/>
              <a:ext cx="4605855" cy="44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aseline="0">
                  <a:solidFill>
                    <a:srgbClr val="217346"/>
                  </a:solidFill>
                  <a:effectLst/>
                  <a:latin typeface="Segoe UI Light" panose="020B0502040204020203" pitchFamily="34" charset="0"/>
                  <a:ea typeface="+mn-ea"/>
                  <a:cs typeface="Segoe UI Light" panose="020B0502040204020203" pitchFamily="34" charset="0"/>
                </a:rPr>
                <a:t>Give us feedback on this tour</a:t>
              </a:r>
              <a:endParaRPr lang="en-US" sz="1800">
                <a:solidFill>
                  <a:srgbClr val="217346"/>
                </a:solidFill>
                <a:latin typeface="Segoe UI Light" panose="020B0502040204020203" pitchFamily="34" charset="0"/>
                <a:cs typeface="Segoe UI Light" panose="020B0502040204020203" pitchFamily="34" charset="0"/>
              </a:endParaRPr>
            </a:p>
          </xdr:txBody>
        </xdr:sp>
        <xdr:pic>
          <xdr:nvPicPr>
            <xdr:cNvPr id="41" name="Picture 40" descr="Tell Me button">
              <a:extLst>
                <a:ext uri="{FF2B5EF4-FFF2-40B4-BE49-F238E27FC236}">
                  <a16:creationId xmlns:a16="http://schemas.microsoft.com/office/drawing/2014/main" xmlns="" id="{FC311F96-C77D-47AE-AE62-D0A3DDA0F0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3415" y="1468036"/>
              <a:ext cx="1012148" cy="942779"/>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xmlns=""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Tell Me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and type what you want to know.</a:t>
              </a:r>
            </a:p>
          </xdr:txBody>
        </xdr:sp>
        <xdr:pic>
          <xdr:nvPicPr>
            <xdr:cNvPr id="43" name="Picture 42" descr="Tell Me what you want to do button">
              <a:extLst>
                <a:ext uri="{FF2B5EF4-FFF2-40B4-BE49-F238E27FC236}">
                  <a16:creationId xmlns:a16="http://schemas.microsoft.com/office/drawing/2014/main" xmlns="" id="{B5DE6CBC-1802-4CB5-8C9A-CFC46AA149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26676" y="1844959"/>
              <a:ext cx="2271866" cy="769703"/>
            </a:xfrm>
            <a:prstGeom prst="rect">
              <a:avLst/>
            </a:prstGeom>
          </xdr:spPr>
        </xdr:pic>
        <xdr:cxnSp macro="">
          <xdr:nvCxnSpPr>
            <xdr:cNvPr id="45" name="Straight Connector 44" descr="Decorative line">
              <a:extLst>
                <a:ext uri="{FF2B5EF4-FFF2-40B4-BE49-F238E27FC236}">
                  <a16:creationId xmlns:a16="http://schemas.microsoft.com/office/drawing/2014/main" xmlns=""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4" tooltip="Select to learn more"/>
              <a:extLst>
                <a:ext uri="{FF2B5EF4-FFF2-40B4-BE49-F238E27FC236}">
                  <a16:creationId xmlns:a16="http://schemas.microsoft.com/office/drawing/2014/main" xmlns=""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5" tooltip="Select to learn more"/>
              <a:extLst>
                <a:ext uri="{FF2B5EF4-FFF2-40B4-BE49-F238E27FC236}">
                  <a16:creationId xmlns:a16="http://schemas.microsoft.com/office/drawing/2014/main" xmlns=""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6" tooltip="Select to learn more"/>
              <a:extLst>
                <a:ext uri="{FF2B5EF4-FFF2-40B4-BE49-F238E27FC236}">
                  <a16:creationId xmlns:a16="http://schemas.microsoft.com/office/drawing/2014/main" xmlns=""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xmlns=""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xmlns=""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xmlns="" id="{E84813DA-DE86-402F-8F54-6E9B73A20DF3}"/>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xmlns=""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xmlns="" id="{FD5737FE-5B8D-4CD4-A4F5-51A1D7DEAECC}"/>
                </a:ext>
              </a:extLst>
            </xdr:cNvPr>
            <xdr:cNvPicPr>
              <a:picLocks noChangeAspect="1"/>
            </xdr:cNvPicPr>
          </xdr:nvPicPr>
          <xdr:blipFill>
            <a:blip xmlns:r="http://schemas.openxmlformats.org/officeDocument/2006/relationships" r:embed="rId8"/>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xmlns=""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xmlns="" id="{14EC6A47-EF33-4E75-9BA6-2EE06DBFFC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xmlns=""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xmlns=""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xmlns=""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xmlns=""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xmlns=""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xmlns=""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Welcome%20to%20Excel%202013.xlt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Documents\excel\practice%20for%20data%20analytics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3738.628107523145" createdVersion="6" refreshedVersion="6" minRefreshableVersion="3" recordCount="6">
  <cacheSource type="worksheet">
    <worksheetSource name="PivotTableData" r:id="rId2"/>
  </cacheSource>
  <cacheFields count="4">
    <cacheField name="Date" numFmtId="14">
      <sharedItems containsSemiMixedTypes="0" containsNonDate="0" containsDate="1" containsString="0" minDate="2019-08-04T00:00:00" maxDate="2019-10-01T00:00:00"/>
    </cacheField>
    <cacheField name="Salesperson" numFmtId="0">
      <sharedItems count="4">
        <s v="Anne"/>
        <s v="Mark"/>
        <s v="Mariya"/>
        <s v="Laura"/>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081.328425347223" createdVersion="5" refreshedVersion="5" minRefreshableVersion="3" recordCount="6">
  <cacheSource type="worksheet">
    <worksheetSource name="PivotTableData2" r:id="rId2"/>
  </cacheSource>
  <cacheFields count="4">
    <cacheField name="Date" numFmtId="14">
      <sharedItems containsSemiMixedTypes="0" containsNonDate="0" containsDate="1" containsString="0" minDate="2023-04-08T00:00:00" maxDate="2023-06-05T00:00:00"/>
    </cacheField>
    <cacheField name="Salesperson" numFmtId="0">
      <sharedItems count="4">
        <s v="Anne"/>
        <s v="Mark"/>
        <s v="Mariya"/>
        <s v="Laura"/>
      </sharedItems>
    </cacheField>
    <cacheField name="Product" numFmtId="0">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
  <r>
    <d v="2019-08-04T00:00:00"/>
    <x v="0"/>
    <x v="0"/>
    <n v="1400"/>
  </r>
  <r>
    <d v="2019-08-09T00:00:00"/>
    <x v="1"/>
    <x v="1"/>
    <n v="1010"/>
  </r>
  <r>
    <d v="2019-08-26T00:00:00"/>
    <x v="0"/>
    <x v="0"/>
    <n v="750"/>
  </r>
  <r>
    <d v="2019-08-30T00:00:00"/>
    <x v="1"/>
    <x v="2"/>
    <n v="510"/>
  </r>
  <r>
    <d v="2019-09-19T00:00:00"/>
    <x v="2"/>
    <x v="2"/>
    <n v="1600"/>
  </r>
  <r>
    <d v="2019-09-30T00:00:00"/>
    <x v="3"/>
    <x v="1"/>
    <n v="680"/>
  </r>
</pivotCacheRecords>
</file>

<file path=xl/pivotCache/pivotCacheRecords2.xml><?xml version="1.0" encoding="utf-8"?>
<pivotCacheRecords xmlns="http://schemas.openxmlformats.org/spreadsheetml/2006/main" xmlns:r="http://schemas.openxmlformats.org/officeDocument/2006/relationships" count="6">
  <r>
    <d v="2023-04-08T00:00:00"/>
    <x v="0"/>
    <s v="Beer"/>
    <n v="1400"/>
  </r>
  <r>
    <d v="2023-04-13T00:00:00"/>
    <x v="1"/>
    <s v="Wine"/>
    <n v="1010"/>
  </r>
  <r>
    <d v="2023-04-30T00:00:00"/>
    <x v="0"/>
    <s v="Beer"/>
    <n v="750"/>
  </r>
  <r>
    <d v="2023-05-04T00:00:00"/>
    <x v="1"/>
    <s v="Soda"/>
    <n v="510"/>
  </r>
  <r>
    <d v="2023-05-24T00:00:00"/>
    <x v="2"/>
    <s v="Soda"/>
    <n v="1600"/>
  </r>
  <r>
    <d v="2023-06-04T00:00:00"/>
    <x v="3"/>
    <s v="Wine"/>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42:D47" firstHeaderRow="1" firstDataRow="1" firstDataCol="1"/>
  <pivotFields count="4">
    <pivotField numFmtId="14" showAll="0"/>
    <pivotField axis="axisRow" showAll="0">
      <items count="5">
        <item x="0"/>
        <item x="3"/>
        <item x="2"/>
        <item x="1"/>
        <item t="default"/>
      </items>
    </pivotField>
    <pivotField showAll="0"/>
    <pivotField dataField="1" numFmtId="42" showAll="0"/>
  </pivotFields>
  <rowFields count="1">
    <field x="1"/>
  </rowFields>
  <rowItems count="5">
    <i>
      <x/>
    </i>
    <i>
      <x v="1"/>
    </i>
    <i>
      <x v="2"/>
    </i>
    <i>
      <x v="3"/>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Sample" cacheId="12"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items count="5">
        <item x="0"/>
        <item x="3"/>
        <item x="2"/>
        <item x="1"/>
        <item t="default"/>
      </items>
    </pivotField>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8">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2" name="Sort" displayName="Sort" ref="C31:F37">
  <autoFilter ref="C31:F37"/>
  <tableColumns count="4">
    <tableColumn id="1" name="Expense date" totalsRowLabel="Total" dataCellStyle="Date"/>
    <tableColumn id="2" name="Employee"/>
    <tableColumn id="4" name="Food"/>
    <tableColumn id="5"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id="13" name="Filter" displayName="Filter" ref="C49:F55">
  <autoFilter ref="C49:F55"/>
  <tableColumns count="4">
    <tableColumn id="1" name="Expense date" totalsRowLabel="Total" dataCellStyle="Date"/>
    <tableColumn id="2" name="Employee"/>
    <tableColumn id="4" name="Food"/>
    <tableColumn id="5"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id="2" name="CalculatedColumns" displayName="CalculatedColumns" ref="C33:H41" totalsRowShown="0" headerRowCellStyle="Heading 3">
  <autoFilter ref="C33:H41"/>
  <tableColumns count="6">
    <tableColumn id="1" name="Department"/>
    <tableColumn id="2" name="Category"/>
    <tableColumn id="3" name="Oct" dataCellStyle="Currency"/>
    <tableColumn id="4" name="Nov" dataCellStyle="Currency"/>
    <tableColumn id="5" name="Dec" dataCellStyle="Currency"/>
    <tableColumn id="6" name="Total" dataDxfId="12"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id="3" name="TotalRows" displayName="TotalRows" ref="C53:E61" headerRowCellStyle="Heading 3">
  <autoFilter ref="C53:E61"/>
  <tableColumns count="3">
    <tableColumn id="1" name="Department" totalsRowLabel="Total"/>
    <tableColumn id="2" name="Category"/>
    <tableColumn id="6" name="Sales" totalsRowFunction="sum" totalsRowDxfId="11"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id="1" name="Table1" displayName="Table1" ref="F31:F35" totalsRowShown="0" headerRowDxfId="4" headerRowCellStyle="Heading 3">
  <autoFilter ref="F31:F35"/>
  <tableColumns count="1">
    <tableColumn id="1" name="Department"/>
  </tableColumns>
  <tableStyleInfo name="CustomTableStyle" showFirstColumn="0" showLastColumn="0" showRowStripes="1" showColumnStripes="0"/>
</table>
</file>

<file path=xl/tables/table6.xml><?xml version="1.0" encoding="utf-8"?>
<table xmlns="http://schemas.openxmlformats.org/spreadsheetml/2006/main" id="16" name="AnalyzeData" displayName="AnalyzeData" ref="C5:G13" totalsRowShown="0">
  <autoFilter ref="C5:G13"/>
  <tableColumns count="5">
    <tableColumn id="1" name="Department"/>
    <tableColumn id="2" name="Category"/>
    <tableColumn id="3" name="Oct" dataCellStyle="Currency"/>
    <tableColumn id="4" name="Nov" dataCellStyle="Currency"/>
    <tableColumn id="5"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7.xml><?xml version="1.0" encoding="utf-8"?>
<table xmlns="http://schemas.openxmlformats.org/spreadsheetml/2006/main" id="17" name="ChartData" displayName="ChartData" ref="C34:G42">
  <autoFilter ref="C34:G42"/>
  <tableColumns count="5">
    <tableColumn id="1" name="Department" totalsRowLabel="Total"/>
    <tableColumn id="2" name="Category"/>
    <tableColumn id="3" name="Oct" dataCellStyle="Currency"/>
    <tableColumn id="4" name="Nov" dataCellStyle="Currency"/>
    <tableColumn id="5"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8.xml><?xml version="1.0" encoding="utf-8"?>
<table xmlns="http://schemas.openxmlformats.org/spreadsheetml/2006/main" id="19" name="SparklineData" displayName="SparklineData" ref="C54:G62">
  <autoFilter ref="C54:G62"/>
  <tableColumns count="5">
    <tableColumn id="1" name="Department" totalsRowLabel="Total"/>
    <tableColumn id="2" name="Category"/>
    <tableColumn id="3" name="Oct" dataCellStyle="Currency"/>
    <tableColumn id="4" name="Nov" dataCellStyle="Currency"/>
    <tableColumn id="5"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9.xml><?xml version="1.0" encoding="utf-8"?>
<table xmlns="http://schemas.openxmlformats.org/spreadsheetml/2006/main" id="24" name="RecommendedChartData" displayName="RecommendedChartData" ref="C5:D11" totalsRowShown="0">
  <autoFilter ref="C5:D11"/>
  <tableColumns count="2">
    <tableColumn id="1" name="Year"/>
    <tableColumn id="2"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id="26" name="RecommendedChartData2" displayName="RecommendedChartData2" ref="D67:F73" totalsRowShown="0">
  <autoFilter ref="D67:F73"/>
  <tableColumns count="3">
    <tableColumn id="1" name="Date" dataDxfId="10" dataCellStyle="Year"/>
    <tableColumn id="2" name="Conference attendance"/>
    <tableColumn id="3" name="Food sales" dataDxfId="9"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id="30" name="PivotTableData" displayName="PivotTableData" ref="C3:F9" totalsRowShown="0">
  <autoFilter ref="C3:F9"/>
  <tableColumns count="4">
    <tableColumn id="1" name="Date" dataCellStyle="Date"/>
    <tableColumn id="2" name="Salesperson"/>
    <tableColumn id="3" name="Product"/>
    <tableColumn id="4" name="Amount" dataDxfId="7"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2.xml><?xml version="1.0" encoding="utf-8"?>
<table xmlns="http://schemas.openxmlformats.org/spreadsheetml/2006/main" id="5" name="PivotTableData2" displayName="PivotTableData2" ref="C34:F40" totalsRowShown="0">
  <autoFilter ref="C34:F40"/>
  <tableColumns count="4">
    <tableColumn id="1" name="Date" dataDxfId="6" dataCellStyle="Date"/>
    <tableColumn id="2" name="Salesperson"/>
    <tableColumn id="3" name="Product"/>
    <tableColumn id="4" name="Amount" dataDxfId="5"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5" Type="http://schemas.openxmlformats.org/officeDocument/2006/relationships/table" Target="../tables/table5.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8.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0.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9.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https://go.microsoft.com/fwlink/?linkid=844749" TargetMode="External"/><Relationship Id="rId7" Type="http://schemas.openxmlformats.org/officeDocument/2006/relationships/table" Target="../tables/table1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s://go.microsoft.com/fwlink/?linkid=84474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5" Type="http://schemas.openxmlformats.org/officeDocument/2006/relationships/drawing" Target="../drawings/drawing12.xml"/><Relationship Id="rId4" Type="http://schemas.openxmlformats.org/officeDocument/2006/relationships/hyperlink" Target="https://go.microsoft.com/fwlink/?linkid=844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A5"/>
  <sheetViews>
    <sheetView showGridLines="0" workbookViewId="0">
      <selection activeCell="A2" sqref="A2:XFD2"/>
    </sheetView>
  </sheetViews>
  <sheetFormatPr defaultColWidth="11.140625" defaultRowHeight="20.25" customHeight="1" x14ac:dyDescent="0.25"/>
  <cols>
    <col min="1" max="1" width="129.7109375" style="17" customWidth="1"/>
    <col min="2" max="2" width="3.5703125" style="17" customWidth="1"/>
    <col min="3" max="16384" width="11.140625" style="17"/>
  </cols>
  <sheetData>
    <row r="1" spans="1:1" ht="15" customHeight="1" x14ac:dyDescent="0.25">
      <c r="A1" s="25" t="s">
        <v>333</v>
      </c>
    </row>
    <row r="2" spans="1:1" ht="102" x14ac:dyDescent="1.65">
      <c r="A2" s="37" t="s">
        <v>63</v>
      </c>
    </row>
    <row r="3" spans="1:1" ht="45" x14ac:dyDescent="0.35">
      <c r="A3" s="38" t="s">
        <v>103</v>
      </c>
    </row>
    <row r="4" spans="1:1" ht="264" customHeight="1" x14ac:dyDescent="0.25">
      <c r="A4" s="64" t="s">
        <v>351</v>
      </c>
    </row>
    <row r="5" spans="1:1" ht="20.25" customHeight="1" x14ac:dyDescent="0.35">
      <c r="A5" s="3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91"/>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26" customWidth="1"/>
    <col min="3" max="16384" width="8.85546875" style="26"/>
  </cols>
  <sheetData>
    <row r="1" spans="1:7" ht="60" customHeight="1" x14ac:dyDescent="0.5">
      <c r="A1" s="24" t="s">
        <v>104</v>
      </c>
      <c r="B1" s="33"/>
    </row>
    <row r="2" spans="1:7" ht="15" customHeight="1" x14ac:dyDescent="0.25">
      <c r="A2" s="24" t="s">
        <v>105</v>
      </c>
    </row>
    <row r="3" spans="1:7" ht="15" customHeight="1" x14ac:dyDescent="0.25">
      <c r="A3" s="24" t="s">
        <v>106</v>
      </c>
      <c r="B3" s="34"/>
      <c r="C3" s="40" t="s">
        <v>0</v>
      </c>
      <c r="D3" s="40" t="s">
        <v>1</v>
      </c>
      <c r="F3" s="40" t="s">
        <v>6</v>
      </c>
      <c r="G3" s="40" t="s">
        <v>1</v>
      </c>
    </row>
    <row r="4" spans="1:7" ht="15" customHeight="1" x14ac:dyDescent="0.25">
      <c r="A4" s="24" t="s">
        <v>117</v>
      </c>
      <c r="C4" s="7" t="s">
        <v>2</v>
      </c>
      <c r="D4" s="7">
        <v>50</v>
      </c>
      <c r="F4" s="7" t="s">
        <v>7</v>
      </c>
      <c r="G4" s="7">
        <v>50</v>
      </c>
    </row>
    <row r="5" spans="1:7" s="27" customFormat="1" ht="15" customHeight="1" x14ac:dyDescent="0.25">
      <c r="A5" s="24" t="s">
        <v>267</v>
      </c>
      <c r="C5" s="7" t="s">
        <v>3</v>
      </c>
      <c r="D5" s="7">
        <v>20</v>
      </c>
      <c r="F5" s="7" t="s">
        <v>8</v>
      </c>
      <c r="G5" s="7">
        <v>30</v>
      </c>
    </row>
    <row r="6" spans="1:7" s="27" customFormat="1" ht="15" customHeight="1" x14ac:dyDescent="0.25">
      <c r="A6" s="24" t="s">
        <v>139</v>
      </c>
      <c r="B6" s="35"/>
      <c r="C6" s="7" t="s">
        <v>4</v>
      </c>
      <c r="D6" s="7">
        <v>60</v>
      </c>
      <c r="F6" s="7" t="s">
        <v>9</v>
      </c>
      <c r="G6" s="7">
        <v>10</v>
      </c>
    </row>
    <row r="7" spans="1:7" s="27" customFormat="1" ht="15" customHeight="1" x14ac:dyDescent="0.25">
      <c r="A7" s="24" t="s">
        <v>344</v>
      </c>
      <c r="C7" s="7" t="s">
        <v>5</v>
      </c>
      <c r="D7" s="7">
        <v>40</v>
      </c>
      <c r="F7" s="7" t="s">
        <v>10</v>
      </c>
      <c r="G7" s="7">
        <v>50</v>
      </c>
    </row>
    <row r="8" spans="1:7" s="27" customFormat="1" ht="15" customHeight="1" x14ac:dyDescent="0.25">
      <c r="A8" s="24" t="s">
        <v>278</v>
      </c>
      <c r="D8" s="28"/>
      <c r="G8" s="28"/>
    </row>
    <row r="9" spans="1:7" s="27" customFormat="1" ht="15" customHeight="1" x14ac:dyDescent="0.25">
      <c r="A9" s="24" t="s">
        <v>268</v>
      </c>
    </row>
    <row r="10" spans="1:7" s="27" customFormat="1" ht="15" customHeight="1" x14ac:dyDescent="0.25">
      <c r="A10" s="24" t="s">
        <v>279</v>
      </c>
      <c r="C10" s="40" t="s">
        <v>11</v>
      </c>
      <c r="D10" s="40" t="s">
        <v>1</v>
      </c>
      <c r="F10" s="40" t="s">
        <v>11</v>
      </c>
      <c r="G10" s="40" t="s">
        <v>1</v>
      </c>
    </row>
    <row r="11" spans="1:7" s="27" customFormat="1" ht="15" customHeight="1" x14ac:dyDescent="0.25">
      <c r="A11" s="24" t="s">
        <v>366</v>
      </c>
      <c r="C11" s="7" t="s">
        <v>12</v>
      </c>
      <c r="D11" s="7">
        <v>50</v>
      </c>
      <c r="F11" s="7" t="s">
        <v>12</v>
      </c>
      <c r="G11" s="7">
        <v>50</v>
      </c>
    </row>
    <row r="12" spans="1:7" s="27" customFormat="1" ht="15" customHeight="1" x14ac:dyDescent="0.25">
      <c r="A12" s="24" t="s">
        <v>280</v>
      </c>
      <c r="C12" s="7" t="s">
        <v>13</v>
      </c>
      <c r="D12" s="7">
        <v>100</v>
      </c>
      <c r="F12" s="7" t="s">
        <v>13</v>
      </c>
      <c r="G12" s="7">
        <v>100</v>
      </c>
    </row>
    <row r="13" spans="1:7" s="27" customFormat="1" ht="15" customHeight="1" x14ac:dyDescent="0.25">
      <c r="A13" s="24" t="s">
        <v>118</v>
      </c>
      <c r="C13" s="7" t="s">
        <v>14</v>
      </c>
      <c r="D13" s="7">
        <v>40</v>
      </c>
      <c r="F13" s="7" t="s">
        <v>14</v>
      </c>
      <c r="G13" s="7">
        <v>40</v>
      </c>
    </row>
    <row r="14" spans="1:7" s="27" customFormat="1" ht="15" customHeight="1" x14ac:dyDescent="0.25">
      <c r="A14" s="24"/>
      <c r="C14" s="7" t="s">
        <v>15</v>
      </c>
      <c r="D14" s="7">
        <v>50</v>
      </c>
      <c r="F14" s="7" t="s">
        <v>15</v>
      </c>
      <c r="G14" s="7">
        <v>50</v>
      </c>
    </row>
    <row r="15" spans="1:7" s="27" customFormat="1" ht="15" customHeight="1" thickBot="1" x14ac:dyDescent="0.3">
      <c r="A15" s="24"/>
      <c r="C15" s="7" t="s">
        <v>16</v>
      </c>
      <c r="D15" s="7">
        <v>20</v>
      </c>
      <c r="F15" s="7" t="s">
        <v>16</v>
      </c>
      <c r="G15" s="7">
        <v>20</v>
      </c>
    </row>
    <row r="16" spans="1:7" s="27" customFormat="1" ht="15" customHeight="1" thickTop="1" thickBot="1" x14ac:dyDescent="0.3">
      <c r="A16" s="24"/>
      <c r="D16" s="28"/>
      <c r="G16" s="39"/>
    </row>
    <row r="17" spans="1:1" s="27" customFormat="1" ht="15" customHeight="1" thickTop="1" x14ac:dyDescent="0.25">
      <c r="A17" s="24"/>
    </row>
    <row r="18" spans="1:1" s="27" customFormat="1" ht="15" customHeight="1" x14ac:dyDescent="0.25">
      <c r="A18" s="24"/>
    </row>
    <row r="19" spans="1:1" s="27" customFormat="1" ht="15" customHeight="1" x14ac:dyDescent="0.25">
      <c r="A19" s="24"/>
    </row>
    <row r="20" spans="1:1" s="27" customFormat="1" ht="15" customHeight="1" x14ac:dyDescent="0.25">
      <c r="A20" s="24"/>
    </row>
    <row r="21" spans="1:1" s="27" customFormat="1" ht="15" customHeight="1" x14ac:dyDescent="0.25">
      <c r="A21" s="24"/>
    </row>
    <row r="22" spans="1:1" s="27" customFormat="1" ht="15" customHeight="1" x14ac:dyDescent="0.25">
      <c r="A22" s="24"/>
    </row>
    <row r="23" spans="1:1" s="27" customFormat="1" ht="15" customHeight="1" x14ac:dyDescent="0.25">
      <c r="A23" s="24"/>
    </row>
    <row r="24" spans="1:1" s="27" customFormat="1" ht="15" customHeight="1" x14ac:dyDescent="0.25">
      <c r="A24" s="24"/>
    </row>
    <row r="27" spans="1:1" ht="15" customHeight="1" x14ac:dyDescent="0.25">
      <c r="A27" s="24" t="s">
        <v>107</v>
      </c>
    </row>
    <row r="28" spans="1:1" ht="15" customHeight="1" x14ac:dyDescent="0.25">
      <c r="A28" s="24" t="s">
        <v>108</v>
      </c>
    </row>
    <row r="29" spans="1:1" ht="15" customHeight="1" x14ac:dyDescent="0.25">
      <c r="A29" s="24" t="s">
        <v>269</v>
      </c>
    </row>
    <row r="30" spans="1:1" ht="15" customHeight="1" x14ac:dyDescent="0.25">
      <c r="A30" s="24" t="s">
        <v>270</v>
      </c>
    </row>
    <row r="31" spans="1:1" ht="15" customHeight="1" x14ac:dyDescent="0.25">
      <c r="A31" s="24" t="s">
        <v>271</v>
      </c>
    </row>
    <row r="32" spans="1:1" ht="15" customHeight="1" x14ac:dyDescent="0.25">
      <c r="A32" s="24" t="s">
        <v>109</v>
      </c>
    </row>
    <row r="33" spans="1:7" ht="15" customHeight="1" x14ac:dyDescent="0.25">
      <c r="A33" s="24" t="s">
        <v>335</v>
      </c>
    </row>
    <row r="34" spans="1:7" ht="15" customHeight="1" x14ac:dyDescent="0.25">
      <c r="A34" s="24" t="s">
        <v>272</v>
      </c>
    </row>
    <row r="35" spans="1:7" ht="15" customHeight="1" x14ac:dyDescent="0.25">
      <c r="A35" s="24" t="s">
        <v>273</v>
      </c>
    </row>
    <row r="36" spans="1:7" ht="15" customHeight="1" x14ac:dyDescent="0.25">
      <c r="A36" s="24" t="s">
        <v>367</v>
      </c>
      <c r="F36" s="31"/>
      <c r="G36" s="31"/>
    </row>
    <row r="37" spans="1:7" ht="15" customHeight="1" x14ac:dyDescent="0.25">
      <c r="A37" s="24" t="s">
        <v>274</v>
      </c>
      <c r="C37" s="40" t="s">
        <v>0</v>
      </c>
      <c r="D37" s="40" t="s">
        <v>1</v>
      </c>
      <c r="F37" s="31"/>
      <c r="G37" s="31"/>
    </row>
    <row r="38" spans="1:7" ht="15" customHeight="1" x14ac:dyDescent="0.25">
      <c r="A38" s="24" t="s">
        <v>275</v>
      </c>
      <c r="C38" s="7" t="s">
        <v>2</v>
      </c>
      <c r="D38" s="7">
        <v>50</v>
      </c>
      <c r="E38" s="27"/>
      <c r="F38" s="31"/>
      <c r="G38" s="31"/>
    </row>
    <row r="39" spans="1:7" ht="15" customHeight="1" x14ac:dyDescent="0.25">
      <c r="A39" s="24" t="s">
        <v>110</v>
      </c>
      <c r="C39" s="7" t="s">
        <v>3</v>
      </c>
      <c r="D39" s="7">
        <v>20</v>
      </c>
      <c r="E39" s="27"/>
      <c r="F39" s="31"/>
      <c r="G39" s="31"/>
    </row>
    <row r="40" spans="1:7" ht="15" customHeight="1" x14ac:dyDescent="0.25">
      <c r="A40" s="24" t="s">
        <v>276</v>
      </c>
      <c r="C40" s="7" t="s">
        <v>4</v>
      </c>
      <c r="D40" s="7">
        <v>60</v>
      </c>
      <c r="E40" s="27"/>
      <c r="F40" s="31"/>
      <c r="G40" s="31"/>
    </row>
    <row r="41" spans="1:7" ht="15" customHeight="1" x14ac:dyDescent="0.25">
      <c r="A41" s="24" t="s">
        <v>277</v>
      </c>
      <c r="C41" s="7" t="s">
        <v>5</v>
      </c>
      <c r="D41" s="7">
        <v>40</v>
      </c>
      <c r="E41" s="27"/>
      <c r="F41" s="31"/>
      <c r="G41" s="31"/>
    </row>
    <row r="42" spans="1:7" ht="15" customHeight="1" x14ac:dyDescent="0.25">
      <c r="A42" s="24" t="s">
        <v>137</v>
      </c>
      <c r="C42" s="27"/>
      <c r="D42" s="28">
        <f>SUM(D38:D41)</f>
        <v>170</v>
      </c>
      <c r="E42" s="27"/>
      <c r="F42" s="27"/>
      <c r="G42" s="27"/>
    </row>
    <row r="43" spans="1:7" ht="15" customHeight="1" x14ac:dyDescent="0.25">
      <c r="A43" s="24" t="s">
        <v>119</v>
      </c>
    </row>
    <row r="47" spans="1:7" ht="15" customHeight="1" x14ac:dyDescent="0.25">
      <c r="C47" s="40" t="s">
        <v>11</v>
      </c>
      <c r="D47" s="40" t="s">
        <v>1</v>
      </c>
      <c r="E47" s="27"/>
      <c r="F47" s="40" t="s">
        <v>11</v>
      </c>
      <c r="G47" s="40" t="s">
        <v>1</v>
      </c>
    </row>
    <row r="48" spans="1:7" ht="15" customHeight="1" x14ac:dyDescent="0.25">
      <c r="C48" s="7" t="s">
        <v>17</v>
      </c>
      <c r="D48" s="7">
        <v>20</v>
      </c>
      <c r="E48" s="27"/>
      <c r="F48" s="7" t="s">
        <v>18</v>
      </c>
      <c r="G48" s="7">
        <v>20</v>
      </c>
    </row>
    <row r="49" spans="3:7" ht="15" customHeight="1" x14ac:dyDescent="0.25">
      <c r="C49" s="7"/>
      <c r="D49" s="7"/>
      <c r="E49" s="27"/>
      <c r="F49" s="7" t="s">
        <v>19</v>
      </c>
      <c r="G49" s="7">
        <v>10</v>
      </c>
    </row>
    <row r="50" spans="3:7" ht="15" customHeight="1" x14ac:dyDescent="0.25">
      <c r="C50" s="7"/>
      <c r="D50" s="7"/>
      <c r="E50" s="27"/>
      <c r="F50" s="7" t="s">
        <v>20</v>
      </c>
      <c r="G50" s="7">
        <v>10</v>
      </c>
    </row>
    <row r="51" spans="3:7" ht="15" customHeight="1" x14ac:dyDescent="0.25">
      <c r="C51" s="7"/>
      <c r="D51" s="7"/>
      <c r="E51" s="27"/>
      <c r="F51" s="7" t="s">
        <v>21</v>
      </c>
      <c r="G51" s="7">
        <v>40</v>
      </c>
    </row>
    <row r="53" spans="3:7" ht="15" customHeight="1" x14ac:dyDescent="0.25">
      <c r="E53" s="40" t="s">
        <v>22</v>
      </c>
    </row>
    <row r="54" spans="3:7" ht="15" customHeight="1" x14ac:dyDescent="0.25">
      <c r="E54" s="28">
        <f>SUM(D48,G48:G51,100)</f>
        <v>200</v>
      </c>
    </row>
    <row r="66" spans="1:7" ht="15" customHeight="1" x14ac:dyDescent="0.25">
      <c r="A66" s="24" t="s">
        <v>111</v>
      </c>
    </row>
    <row r="67" spans="1:7" ht="15" customHeight="1" x14ac:dyDescent="0.25">
      <c r="A67" s="24" t="s">
        <v>281</v>
      </c>
    </row>
    <row r="68" spans="1:7" ht="15" customHeight="1" x14ac:dyDescent="0.25">
      <c r="A68" s="24" t="s">
        <v>282</v>
      </c>
    </row>
    <row r="69" spans="1:7" ht="15" customHeight="1" x14ac:dyDescent="0.25">
      <c r="A69" s="24" t="s">
        <v>368</v>
      </c>
    </row>
    <row r="70" spans="1:7" ht="15" customHeight="1" x14ac:dyDescent="0.25">
      <c r="A70" s="24" t="s">
        <v>283</v>
      </c>
    </row>
    <row r="71" spans="1:7" ht="15" customHeight="1" x14ac:dyDescent="0.25">
      <c r="A71" s="24" t="s">
        <v>138</v>
      </c>
    </row>
    <row r="72" spans="1:7" ht="15" customHeight="1" x14ac:dyDescent="0.25">
      <c r="A72" s="24" t="s">
        <v>284</v>
      </c>
      <c r="C72" s="40" t="s">
        <v>11</v>
      </c>
      <c r="D72" s="40" t="s">
        <v>1</v>
      </c>
      <c r="F72" s="40" t="s">
        <v>11</v>
      </c>
      <c r="G72" s="40" t="s">
        <v>1</v>
      </c>
    </row>
    <row r="73" spans="1:7" ht="15" customHeight="1" x14ac:dyDescent="0.25">
      <c r="A73" s="63" t="s">
        <v>369</v>
      </c>
      <c r="C73" s="7" t="s">
        <v>12</v>
      </c>
      <c r="D73" s="7">
        <v>50</v>
      </c>
      <c r="F73" s="7" t="s">
        <v>12</v>
      </c>
      <c r="G73" s="7">
        <v>50</v>
      </c>
    </row>
    <row r="74" spans="1:7" ht="15" customHeight="1" x14ac:dyDescent="0.25">
      <c r="A74" s="24" t="s">
        <v>120</v>
      </c>
      <c r="C74" s="7" t="s">
        <v>13</v>
      </c>
      <c r="D74" s="7">
        <v>100</v>
      </c>
      <c r="F74" s="7" t="s">
        <v>13</v>
      </c>
      <c r="G74" s="7">
        <v>100</v>
      </c>
    </row>
    <row r="75" spans="1:7" ht="15" customHeight="1" x14ac:dyDescent="0.25">
      <c r="C75" s="7" t="s">
        <v>14</v>
      </c>
      <c r="D75" s="7">
        <v>40</v>
      </c>
      <c r="F75" s="7" t="s">
        <v>14</v>
      </c>
      <c r="G75" s="7">
        <v>40</v>
      </c>
    </row>
    <row r="76" spans="1:7" ht="15" customHeight="1" x14ac:dyDescent="0.25">
      <c r="C76" s="7" t="s">
        <v>15</v>
      </c>
      <c r="D76" s="7">
        <v>50</v>
      </c>
      <c r="F76" s="7" t="s">
        <v>15</v>
      </c>
      <c r="G76" s="7">
        <v>50</v>
      </c>
    </row>
    <row r="77" spans="1:7" ht="15" customHeight="1" thickBot="1" x14ac:dyDescent="0.3">
      <c r="C77" s="7" t="s">
        <v>16</v>
      </c>
      <c r="D77" s="7">
        <v>20</v>
      </c>
      <c r="F77" s="7" t="s">
        <v>16</v>
      </c>
      <c r="G77" s="7">
        <v>20</v>
      </c>
    </row>
    <row r="78" spans="1:7" ht="15" customHeight="1" thickTop="1" thickBot="1" x14ac:dyDescent="0.3">
      <c r="D78" s="28">
        <f>SUMIF(D73:D77,"&gt;50")</f>
        <v>100</v>
      </c>
      <c r="F78" s="32"/>
      <c r="G78" s="30">
        <f>SUMIF(G73:G77,"&gt;=50")</f>
        <v>200</v>
      </c>
    </row>
    <row r="79" spans="1:7" ht="15" customHeight="1" thickTop="1" x14ac:dyDescent="0.25"/>
    <row r="82" spans="1:7" ht="15" customHeight="1" x14ac:dyDescent="0.25">
      <c r="C82" s="31"/>
      <c r="D82" s="31"/>
      <c r="E82" s="31"/>
      <c r="F82" s="31"/>
      <c r="G82" s="31"/>
    </row>
    <row r="83" spans="1:7" ht="15" customHeight="1" x14ac:dyDescent="0.25">
      <c r="C83" s="31"/>
      <c r="D83" s="31"/>
      <c r="E83" s="31"/>
      <c r="F83" s="31"/>
      <c r="G83" s="31"/>
    </row>
    <row r="84" spans="1:7" ht="15" customHeight="1" x14ac:dyDescent="0.25">
      <c r="C84" s="31"/>
      <c r="D84" s="31"/>
      <c r="E84" s="31"/>
      <c r="F84" s="31"/>
      <c r="G84" s="31"/>
    </row>
    <row r="85" spans="1:7" ht="15" customHeight="1" x14ac:dyDescent="0.25">
      <c r="C85" s="31"/>
      <c r="D85" s="31"/>
      <c r="E85" s="31"/>
      <c r="F85" s="31"/>
      <c r="G85" s="31"/>
    </row>
    <row r="86" spans="1:7" ht="15" customHeight="1" x14ac:dyDescent="0.25">
      <c r="A86" s="24" t="s">
        <v>113</v>
      </c>
      <c r="C86" s="31"/>
      <c r="D86" s="31"/>
      <c r="E86" s="31"/>
      <c r="F86" s="31"/>
      <c r="G86" s="31"/>
    </row>
    <row r="87" spans="1:7" ht="15" customHeight="1" x14ac:dyDescent="0.25">
      <c r="A87" s="24" t="s">
        <v>114</v>
      </c>
      <c r="C87" s="31"/>
      <c r="D87" s="31"/>
      <c r="E87" s="31"/>
      <c r="F87" s="31"/>
      <c r="G87" s="31"/>
    </row>
    <row r="88" spans="1:7" ht="15" customHeight="1" x14ac:dyDescent="0.25">
      <c r="A88" s="24" t="s">
        <v>115</v>
      </c>
      <c r="C88" s="31"/>
      <c r="D88" s="31"/>
      <c r="E88" s="31"/>
      <c r="F88" s="31"/>
      <c r="G88" s="31"/>
    </row>
    <row r="89" spans="1:7" ht="15" customHeight="1" x14ac:dyDescent="0.25">
      <c r="A89" s="24" t="s">
        <v>116</v>
      </c>
      <c r="C89" s="31"/>
      <c r="D89" s="31"/>
      <c r="E89" s="31"/>
      <c r="F89" s="31"/>
      <c r="G89" s="31"/>
    </row>
    <row r="90" spans="1:7" ht="15" customHeight="1" x14ac:dyDescent="0.25">
      <c r="A90" s="24" t="s">
        <v>364</v>
      </c>
      <c r="C90" s="31"/>
      <c r="D90" s="31"/>
      <c r="E90" s="31"/>
      <c r="F90" s="31"/>
      <c r="G90" s="31"/>
    </row>
    <row r="91" spans="1:7" ht="15" customHeight="1" x14ac:dyDescent="0.25">
      <c r="A91" s="24" t="s">
        <v>112</v>
      </c>
    </row>
  </sheetData>
  <hyperlinks>
    <hyperlink ref="A87" r:id="rId1" tooltip="Select to learn all about the SUM function from the web"/>
    <hyperlink ref="A88" r:id="rId2" tooltip="Select to learn all about the SUMIF function from the web"/>
    <hyperlink ref="A89" r:id="rId3" tooltip="Select to learn how to use Excel as a calculator from the web"/>
    <hyperlink ref="A90" r:id="rId4" tooltip="Select to learn an overview of Free Excel training online from the web"/>
    <hyperlink ref="A71" location="'10. PivotTables'!A1" tooltip="Select to go to PivotTable worksheet" display="NOTE: If you find you are making a lot of SUMIF formulas, you might find that a PivotTable is a better solution. See the PivotTable worksheet for more information."/>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67"/>
  <sheetViews>
    <sheetView showGridLines="0" zoomScaleNormal="100" zoomScalePageLayoutView="125" workbookViewId="0"/>
  </sheetViews>
  <sheetFormatPr defaultColWidth="8.85546875" defaultRowHeight="15" customHeight="1" x14ac:dyDescent="0.25"/>
  <cols>
    <col min="1" max="1" width="12.7109375" style="36" customWidth="1"/>
    <col min="2" max="2" width="82.85546875" style="17" customWidth="1"/>
    <col min="3" max="16384" width="8.85546875" style="26"/>
  </cols>
  <sheetData>
    <row r="1" spans="1:9" ht="60" customHeight="1" x14ac:dyDescent="0.25">
      <c r="A1" s="36" t="s">
        <v>123</v>
      </c>
      <c r="C1" s="31"/>
      <c r="D1" s="31"/>
      <c r="E1" s="31"/>
      <c r="F1" s="31"/>
      <c r="G1" s="31"/>
      <c r="H1" s="31"/>
      <c r="I1" s="31"/>
    </row>
    <row r="2" spans="1:9" ht="15" customHeight="1" x14ac:dyDescent="0.25">
      <c r="A2" s="36" t="s">
        <v>140</v>
      </c>
      <c r="C2" s="31"/>
      <c r="D2" s="31"/>
      <c r="E2" s="31"/>
      <c r="F2" s="31"/>
      <c r="G2" s="31"/>
      <c r="H2" s="31"/>
      <c r="I2" s="31"/>
    </row>
    <row r="3" spans="1:9" ht="15" customHeight="1" x14ac:dyDescent="0.25">
      <c r="A3" s="36" t="s">
        <v>285</v>
      </c>
      <c r="C3" s="40" t="s">
        <v>23</v>
      </c>
      <c r="D3" s="40" t="s">
        <v>24</v>
      </c>
      <c r="E3" s="40" t="s">
        <v>25</v>
      </c>
      <c r="F3" s="40" t="s">
        <v>24</v>
      </c>
      <c r="G3" s="40" t="s">
        <v>25</v>
      </c>
      <c r="H3" s="31"/>
      <c r="I3" s="31"/>
    </row>
    <row r="4" spans="1:9" ht="15" customHeight="1" x14ac:dyDescent="0.25">
      <c r="A4" s="36" t="s">
        <v>124</v>
      </c>
      <c r="C4" s="29">
        <v>50</v>
      </c>
      <c r="D4" s="29">
        <v>50</v>
      </c>
      <c r="E4" s="28">
        <f>SUM(C4:D4)</f>
        <v>100</v>
      </c>
      <c r="F4" s="29">
        <v>75</v>
      </c>
      <c r="G4" s="29">
        <f>SUM(E4:F4)</f>
        <v>175</v>
      </c>
      <c r="H4" s="31"/>
      <c r="I4" s="31"/>
    </row>
    <row r="5" spans="1:9" s="27" customFormat="1" ht="15" customHeight="1" x14ac:dyDescent="0.25">
      <c r="A5" s="36" t="s">
        <v>286</v>
      </c>
      <c r="B5" s="17"/>
      <c r="C5" s="29">
        <v>50</v>
      </c>
      <c r="D5" s="29">
        <v>60</v>
      </c>
      <c r="E5" s="7"/>
      <c r="F5" s="29">
        <v>75</v>
      </c>
      <c r="G5" s="29"/>
      <c r="H5" s="31"/>
      <c r="I5" s="31"/>
    </row>
    <row r="6" spans="1:9" s="27" customFormat="1" ht="15" customHeight="1" x14ac:dyDescent="0.25">
      <c r="A6" s="36" t="s">
        <v>287</v>
      </c>
      <c r="B6" s="17"/>
      <c r="C6" s="29">
        <v>50</v>
      </c>
      <c r="D6" s="29">
        <v>70</v>
      </c>
      <c r="E6" s="7"/>
      <c r="F6" s="29">
        <v>75</v>
      </c>
      <c r="G6" s="29"/>
      <c r="H6" s="31"/>
      <c r="I6" s="31"/>
    </row>
    <row r="7" spans="1:9" s="27" customFormat="1" ht="15" customHeight="1" x14ac:dyDescent="0.25">
      <c r="A7" s="36" t="s">
        <v>288</v>
      </c>
      <c r="B7" s="17"/>
      <c r="C7" s="29">
        <v>50</v>
      </c>
      <c r="D7" s="29">
        <v>80</v>
      </c>
      <c r="E7" s="7"/>
      <c r="F7" s="29">
        <v>75</v>
      </c>
      <c r="G7" s="29"/>
      <c r="H7" s="31"/>
      <c r="I7" s="31"/>
    </row>
    <row r="8" spans="1:9" s="27" customFormat="1" ht="15" customHeight="1" x14ac:dyDescent="0.25">
      <c r="A8" s="36" t="s">
        <v>125</v>
      </c>
      <c r="B8" s="17"/>
      <c r="C8" s="31"/>
      <c r="D8" s="31"/>
      <c r="E8" s="31"/>
      <c r="F8" s="31"/>
      <c r="G8" s="31"/>
      <c r="H8" s="31"/>
      <c r="I8" s="31"/>
    </row>
    <row r="9" spans="1:9" s="27" customFormat="1" ht="15" customHeight="1" x14ac:dyDescent="0.25">
      <c r="A9" s="36" t="s">
        <v>126</v>
      </c>
      <c r="B9" s="17"/>
      <c r="C9" s="31"/>
      <c r="D9" s="31"/>
      <c r="E9" s="31"/>
      <c r="F9" s="31"/>
      <c r="G9" s="31"/>
      <c r="H9" s="31"/>
      <c r="I9" s="31"/>
    </row>
    <row r="10" spans="1:9" s="27" customFormat="1" ht="15" customHeight="1" x14ac:dyDescent="0.25">
      <c r="A10" s="36"/>
      <c r="B10" s="17"/>
      <c r="C10" s="40" t="s">
        <v>23</v>
      </c>
      <c r="D10" s="40" t="s">
        <v>24</v>
      </c>
      <c r="E10" s="40" t="s">
        <v>25</v>
      </c>
      <c r="F10" s="40" t="s">
        <v>24</v>
      </c>
      <c r="G10" s="40" t="s">
        <v>25</v>
      </c>
      <c r="H10" s="31"/>
      <c r="I10" s="31"/>
    </row>
    <row r="11" spans="1:9" s="27" customFormat="1" ht="15" customHeight="1" x14ac:dyDescent="0.25">
      <c r="A11" s="36"/>
      <c r="B11" s="17"/>
      <c r="C11" s="29">
        <v>50</v>
      </c>
      <c r="D11" s="29">
        <v>50</v>
      </c>
      <c r="E11" s="29">
        <f>SUM(C11:D11)</f>
        <v>100</v>
      </c>
      <c r="F11" s="29">
        <v>75</v>
      </c>
      <c r="G11" s="29">
        <f>SUM(E11:F11)</f>
        <v>175</v>
      </c>
      <c r="H11" s="31"/>
      <c r="I11" s="31"/>
    </row>
    <row r="12" spans="1:9" s="27" customFormat="1" ht="15" customHeight="1" x14ac:dyDescent="0.25">
      <c r="A12" s="36"/>
      <c r="B12" s="17"/>
      <c r="C12" s="29">
        <v>50</v>
      </c>
      <c r="D12" s="29">
        <v>60</v>
      </c>
      <c r="E12" s="29">
        <f t="shared" ref="E12:E14" si="0">SUM(C12:D12)</f>
        <v>110</v>
      </c>
      <c r="F12" s="29">
        <v>75</v>
      </c>
      <c r="G12" s="29">
        <f t="shared" ref="G12:G14" si="1">SUM(E12:F12)</f>
        <v>185</v>
      </c>
      <c r="H12" s="31"/>
      <c r="I12" s="31"/>
    </row>
    <row r="13" spans="1:9" s="27" customFormat="1" ht="15" customHeight="1" x14ac:dyDescent="0.25">
      <c r="A13" s="36"/>
      <c r="B13" s="17"/>
      <c r="C13" s="29">
        <v>50</v>
      </c>
      <c r="D13" s="29">
        <v>70</v>
      </c>
      <c r="E13" s="29">
        <f t="shared" si="0"/>
        <v>120</v>
      </c>
      <c r="F13" s="29">
        <v>75</v>
      </c>
      <c r="G13" s="29">
        <f t="shared" si="1"/>
        <v>195</v>
      </c>
      <c r="H13" s="31"/>
      <c r="I13" s="31"/>
    </row>
    <row r="14" spans="1:9" s="27" customFormat="1" ht="15" customHeight="1" x14ac:dyDescent="0.25">
      <c r="A14" s="36"/>
      <c r="B14" s="17"/>
      <c r="C14" s="56">
        <v>50</v>
      </c>
      <c r="D14" s="56">
        <v>80</v>
      </c>
      <c r="E14" s="56">
        <f t="shared" si="0"/>
        <v>130</v>
      </c>
      <c r="F14" s="56">
        <v>75</v>
      </c>
      <c r="G14" s="56">
        <f t="shared" si="1"/>
        <v>205</v>
      </c>
      <c r="H14" s="31"/>
      <c r="I14" s="31"/>
    </row>
    <row r="15" spans="1:9" s="27" customFormat="1" ht="15" customHeight="1" x14ac:dyDescent="0.25">
      <c r="A15" s="36"/>
      <c r="B15" s="17"/>
      <c r="C15" s="28">
        <f>SUM(C11:C14)</f>
        <v>200</v>
      </c>
      <c r="D15" s="7"/>
      <c r="E15" s="7"/>
      <c r="F15" s="7"/>
      <c r="G15" s="7"/>
      <c r="H15" s="31"/>
      <c r="I15" s="31"/>
    </row>
    <row r="16" spans="1:9" s="27" customFormat="1" ht="15" customHeight="1" x14ac:dyDescent="0.25">
      <c r="A16" s="36"/>
      <c r="B16" s="17"/>
      <c r="H16" s="31"/>
      <c r="I16" s="31"/>
    </row>
    <row r="17" spans="1:9" s="27" customFormat="1" ht="15" customHeight="1" x14ac:dyDescent="0.25">
      <c r="A17" s="36"/>
      <c r="B17" s="17"/>
      <c r="H17" s="31"/>
      <c r="I17" s="31"/>
    </row>
    <row r="18" spans="1:9" s="27" customFormat="1" ht="15" customHeight="1" x14ac:dyDescent="0.25">
      <c r="A18" s="36"/>
      <c r="B18" s="17"/>
      <c r="C18" s="31"/>
      <c r="D18" s="31"/>
      <c r="E18" s="31"/>
      <c r="F18" s="31"/>
      <c r="G18" s="31"/>
      <c r="H18" s="31"/>
      <c r="I18" s="31"/>
    </row>
    <row r="19" spans="1:9" s="27" customFormat="1" ht="15" customHeight="1" x14ac:dyDescent="0.25">
      <c r="A19" s="36"/>
      <c r="B19" s="17"/>
      <c r="C19" s="31"/>
      <c r="D19" s="31"/>
      <c r="E19" s="31"/>
      <c r="F19" s="31"/>
      <c r="G19" s="31"/>
      <c r="H19" s="31"/>
      <c r="I19" s="31"/>
    </row>
    <row r="20" spans="1:9" s="27" customFormat="1" ht="15" customHeight="1" x14ac:dyDescent="0.25">
      <c r="A20" s="36"/>
      <c r="B20" s="17"/>
      <c r="C20" s="31"/>
      <c r="D20" s="31"/>
      <c r="E20" s="31"/>
      <c r="F20" s="31"/>
      <c r="G20" s="31"/>
      <c r="H20" s="31"/>
      <c r="I20" s="31"/>
    </row>
    <row r="21" spans="1:9" s="27" customFormat="1" ht="15" customHeight="1" x14ac:dyDescent="0.25">
      <c r="A21" s="36"/>
      <c r="B21" s="17"/>
      <c r="C21" s="31"/>
      <c r="D21" s="31"/>
      <c r="E21" s="31"/>
      <c r="F21" s="31"/>
      <c r="G21" s="31"/>
      <c r="H21" s="31"/>
      <c r="I21" s="31"/>
    </row>
    <row r="22" spans="1:9" s="27" customFormat="1" ht="15" customHeight="1" x14ac:dyDescent="0.25">
      <c r="A22" s="36"/>
      <c r="B22" s="17"/>
    </row>
    <row r="23" spans="1:9" s="27" customFormat="1" ht="15" customHeight="1" x14ac:dyDescent="0.25">
      <c r="A23" s="36"/>
      <c r="B23" s="17"/>
    </row>
    <row r="24" spans="1:9" s="27" customFormat="1" ht="15" customHeight="1" x14ac:dyDescent="0.25">
      <c r="A24" s="36"/>
      <c r="B24" s="17"/>
    </row>
    <row r="27" spans="1:9" ht="15" customHeight="1" x14ac:dyDescent="0.25">
      <c r="A27" s="36" t="s">
        <v>127</v>
      </c>
    </row>
    <row r="28" spans="1:9" ht="15" customHeight="1" x14ac:dyDescent="0.25">
      <c r="A28" s="36" t="s">
        <v>128</v>
      </c>
    </row>
    <row r="29" spans="1:9" ht="15" customHeight="1" x14ac:dyDescent="0.25">
      <c r="A29" s="36" t="s">
        <v>289</v>
      </c>
    </row>
    <row r="30" spans="1:9" ht="15" customHeight="1" x14ac:dyDescent="0.25">
      <c r="A30" s="36" t="s">
        <v>290</v>
      </c>
    </row>
    <row r="31" spans="1:9" ht="15" customHeight="1" x14ac:dyDescent="0.25">
      <c r="A31" s="36" t="s">
        <v>141</v>
      </c>
    </row>
    <row r="33" spans="3:9" ht="15" customHeight="1" x14ac:dyDescent="0.25">
      <c r="C33" s="40" t="s">
        <v>34</v>
      </c>
      <c r="D33" s="40" t="s">
        <v>26</v>
      </c>
      <c r="E33" s="40" t="s">
        <v>27</v>
      </c>
      <c r="F33" s="40" t="s">
        <v>33</v>
      </c>
      <c r="G33" s="31"/>
      <c r="H33" s="31"/>
      <c r="I33" s="31"/>
    </row>
    <row r="34" spans="3:9" ht="15" customHeight="1" x14ac:dyDescent="0.25">
      <c r="C34" s="57" t="s">
        <v>28</v>
      </c>
      <c r="D34" s="57" t="s">
        <v>0</v>
      </c>
      <c r="E34" s="29" t="s">
        <v>29</v>
      </c>
      <c r="F34" s="29">
        <v>100</v>
      </c>
      <c r="G34" s="31"/>
      <c r="H34" s="31"/>
      <c r="I34" s="31"/>
    </row>
    <row r="35" spans="3:9" ht="15" customHeight="1" x14ac:dyDescent="0.25">
      <c r="C35" s="29"/>
      <c r="D35" s="29"/>
      <c r="E35" s="29" t="s">
        <v>30</v>
      </c>
      <c r="F35" s="29">
        <v>200</v>
      </c>
      <c r="G35" s="31"/>
      <c r="H35" s="31"/>
      <c r="I35" s="31"/>
    </row>
    <row r="36" spans="3:9" ht="15" customHeight="1" x14ac:dyDescent="0.25">
      <c r="C36" s="29"/>
      <c r="D36" s="29"/>
      <c r="E36" s="29" t="s">
        <v>31</v>
      </c>
      <c r="F36" s="29">
        <v>50</v>
      </c>
      <c r="G36" s="31"/>
      <c r="H36" s="31"/>
      <c r="I36" s="31"/>
    </row>
    <row r="37" spans="3:9" ht="15" customHeight="1" x14ac:dyDescent="0.25">
      <c r="C37" s="29"/>
      <c r="D37" s="29"/>
      <c r="E37" s="29" t="s">
        <v>32</v>
      </c>
      <c r="F37" s="29">
        <v>100</v>
      </c>
      <c r="G37" s="31"/>
      <c r="H37" s="31"/>
      <c r="I37" s="31"/>
    </row>
    <row r="38" spans="3:9" ht="15" customHeight="1" x14ac:dyDescent="0.25">
      <c r="C38" s="31"/>
      <c r="D38" s="31"/>
      <c r="E38" s="31"/>
      <c r="F38" s="31"/>
      <c r="G38" s="31"/>
      <c r="H38" s="31"/>
      <c r="I38" s="31"/>
    </row>
    <row r="39" spans="3:9" ht="15" customHeight="1" x14ac:dyDescent="0.25">
      <c r="C39" s="31"/>
      <c r="D39" s="31"/>
      <c r="E39" s="31"/>
      <c r="F39" s="31"/>
      <c r="G39" s="31"/>
      <c r="H39" s="31"/>
      <c r="I39" s="31"/>
    </row>
    <row r="40" spans="3:9" ht="15" customHeight="1" x14ac:dyDescent="0.25">
      <c r="C40" s="31"/>
      <c r="D40" s="31"/>
      <c r="E40" s="31"/>
      <c r="F40" s="31"/>
      <c r="G40" s="31"/>
      <c r="H40" s="31"/>
      <c r="I40" s="31"/>
    </row>
    <row r="41" spans="3:9" ht="15" customHeight="1" x14ac:dyDescent="0.25">
      <c r="C41" s="31"/>
      <c r="D41" s="31"/>
      <c r="E41" s="31"/>
      <c r="F41" s="31"/>
      <c r="G41" s="31"/>
      <c r="H41" s="31"/>
      <c r="I41" s="31"/>
    </row>
    <row r="42" spans="3:9" ht="15" customHeight="1" x14ac:dyDescent="0.25">
      <c r="C42" s="31"/>
      <c r="D42" s="31"/>
      <c r="E42" s="31"/>
      <c r="F42" s="31"/>
      <c r="G42" s="31"/>
      <c r="H42" s="31"/>
      <c r="I42" s="31"/>
    </row>
    <row r="43" spans="3:9" ht="15" customHeight="1" x14ac:dyDescent="0.25">
      <c r="C43" s="31"/>
      <c r="D43" s="31"/>
      <c r="E43" s="31"/>
      <c r="F43" s="31"/>
      <c r="G43" s="31"/>
      <c r="H43" s="31"/>
      <c r="I43" s="31"/>
    </row>
    <row r="44" spans="3:9" ht="15" customHeight="1" x14ac:dyDescent="0.25">
      <c r="C44" s="31"/>
      <c r="D44" s="31"/>
      <c r="E44" s="31"/>
      <c r="F44" s="31"/>
      <c r="G44" s="31"/>
      <c r="H44" s="31"/>
      <c r="I44" s="31"/>
    </row>
    <row r="45" spans="3:9" ht="15" customHeight="1" x14ac:dyDescent="0.25">
      <c r="C45" s="31"/>
      <c r="D45" s="31"/>
      <c r="E45" s="31"/>
      <c r="F45" s="31"/>
      <c r="G45" s="31"/>
      <c r="H45" s="31"/>
      <c r="I45" s="31"/>
    </row>
    <row r="46" spans="3:9" ht="15" customHeight="1" thickBot="1" x14ac:dyDescent="0.3">
      <c r="C46" s="40"/>
      <c r="D46" s="40" t="s">
        <v>35</v>
      </c>
      <c r="E46" s="40"/>
      <c r="F46" s="40"/>
      <c r="G46" s="31"/>
      <c r="H46" s="31"/>
      <c r="I46" s="31"/>
    </row>
    <row r="47" spans="3:9" ht="15" customHeight="1" thickTop="1" thickBot="1" x14ac:dyDescent="0.3">
      <c r="C47" s="57" t="s">
        <v>36</v>
      </c>
      <c r="D47" s="29">
        <v>35</v>
      </c>
      <c r="E47" s="29">
        <v>44</v>
      </c>
      <c r="F47" s="29">
        <v>79</v>
      </c>
      <c r="G47" s="31"/>
      <c r="H47" s="39" t="s">
        <v>61</v>
      </c>
      <c r="I47" s="31"/>
    </row>
    <row r="48" spans="3:9" ht="15" customHeight="1" thickTop="1" x14ac:dyDescent="0.25">
      <c r="C48" s="29"/>
      <c r="D48" s="29">
        <v>74</v>
      </c>
      <c r="E48" s="29">
        <v>64</v>
      </c>
      <c r="F48" s="29">
        <v>56</v>
      </c>
      <c r="G48" s="31"/>
      <c r="H48" s="29"/>
      <c r="I48" s="31"/>
    </row>
    <row r="49" spans="1:9" ht="15" customHeight="1" x14ac:dyDescent="0.25">
      <c r="C49" s="29"/>
      <c r="D49" s="29">
        <v>82</v>
      </c>
      <c r="E49" s="29">
        <v>50</v>
      </c>
      <c r="F49" s="29">
        <v>83</v>
      </c>
      <c r="G49" s="31"/>
      <c r="H49" s="29"/>
      <c r="I49" s="31"/>
    </row>
    <row r="50" spans="1:9" ht="15" customHeight="1" x14ac:dyDescent="0.25">
      <c r="C50" s="29"/>
      <c r="D50" s="29">
        <v>90</v>
      </c>
      <c r="E50" s="29">
        <v>22</v>
      </c>
      <c r="F50" s="29">
        <v>89</v>
      </c>
      <c r="G50" s="31"/>
      <c r="H50" s="29"/>
      <c r="I50" s="31"/>
    </row>
    <row r="51" spans="1:9" ht="15" customHeight="1" x14ac:dyDescent="0.25">
      <c r="C51" s="31"/>
      <c r="D51" s="31"/>
      <c r="E51" s="31"/>
      <c r="F51" s="31"/>
      <c r="G51" s="31"/>
      <c r="H51" s="31"/>
      <c r="I51" s="31"/>
    </row>
    <row r="52" spans="1:9" ht="15" customHeight="1" x14ac:dyDescent="0.25">
      <c r="C52" s="31"/>
      <c r="D52" s="31"/>
      <c r="E52" s="31"/>
      <c r="F52" s="31"/>
      <c r="G52" s="31"/>
      <c r="H52" s="31"/>
      <c r="I52" s="31"/>
    </row>
    <row r="53" spans="1:9" ht="15" customHeight="1" x14ac:dyDescent="0.25">
      <c r="C53" s="31"/>
      <c r="D53" s="31"/>
      <c r="E53" s="31"/>
      <c r="F53" s="31"/>
      <c r="G53" s="31"/>
      <c r="H53" s="31"/>
      <c r="I53" s="31"/>
    </row>
    <row r="54" spans="1:9" ht="15" customHeight="1" x14ac:dyDescent="0.25">
      <c r="C54" s="31"/>
      <c r="D54" s="31"/>
      <c r="E54" s="31"/>
      <c r="F54" s="31"/>
      <c r="G54" s="31"/>
      <c r="H54" s="31"/>
      <c r="I54" s="31"/>
    </row>
    <row r="55" spans="1:9" ht="15" customHeight="1" x14ac:dyDescent="0.25">
      <c r="C55" s="31"/>
      <c r="D55" s="31"/>
      <c r="E55" s="31"/>
      <c r="F55" s="31"/>
      <c r="G55" s="31"/>
      <c r="H55" s="31"/>
      <c r="I55" s="31"/>
    </row>
    <row r="56" spans="1:9" ht="15" customHeight="1" x14ac:dyDescent="0.25">
      <c r="C56" s="31"/>
      <c r="D56" s="31"/>
      <c r="E56" s="31"/>
      <c r="F56" s="31"/>
      <c r="G56" s="31"/>
      <c r="H56" s="31"/>
      <c r="I56" s="31"/>
    </row>
    <row r="57" spans="1:9" ht="15" customHeight="1" x14ac:dyDescent="0.25">
      <c r="C57" s="31"/>
      <c r="D57" s="31"/>
      <c r="E57" s="31"/>
      <c r="F57" s="31"/>
      <c r="G57" s="31"/>
      <c r="H57" s="31"/>
      <c r="I57" s="31"/>
    </row>
    <row r="60" spans="1:9" ht="15" customHeight="1" x14ac:dyDescent="0.25">
      <c r="C60" s="40" t="s">
        <v>37</v>
      </c>
      <c r="D60" s="40"/>
      <c r="E60" s="40"/>
      <c r="F60" s="40"/>
      <c r="G60" s="40"/>
      <c r="H60" s="40"/>
    </row>
    <row r="61" spans="1:9" ht="15" customHeight="1" x14ac:dyDescent="0.25">
      <c r="C61" s="57">
        <v>15</v>
      </c>
      <c r="D61" s="57">
        <v>30</v>
      </c>
      <c r="E61" s="29"/>
      <c r="F61" s="29"/>
      <c r="G61" s="29"/>
      <c r="H61" s="29"/>
    </row>
    <row r="64" spans="1:9" ht="15" customHeight="1" x14ac:dyDescent="0.25">
      <c r="A64" s="36" t="s">
        <v>113</v>
      </c>
    </row>
    <row r="65" spans="1:1" ht="15" customHeight="1" x14ac:dyDescent="0.25">
      <c r="A65" s="24" t="s">
        <v>142</v>
      </c>
    </row>
    <row r="66" spans="1:1" ht="15" customHeight="1" x14ac:dyDescent="0.25">
      <c r="A66" s="24" t="s">
        <v>143</v>
      </c>
    </row>
    <row r="67" spans="1:1" ht="15" customHeight="1" x14ac:dyDescent="0.25">
      <c r="A67" s="36" t="s">
        <v>112</v>
      </c>
    </row>
  </sheetData>
  <hyperlinks>
    <hyperlink ref="A65" r:id="rId1" tooltip="Select to learn about filling data automatically in worksheet cells from the web"/>
    <hyperlink ref="A66" r:id="rId2" tooltip="Select to learn about filling a formula down into adjacent cells from the web"/>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8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33.85546875" style="1" customWidth="1"/>
    <col min="4" max="4" width="10.28515625" style="1" customWidth="1"/>
    <col min="5" max="5" width="9.85546875" style="1" customWidth="1"/>
    <col min="6" max="7" width="15.5703125" style="15" customWidth="1"/>
    <col min="8" max="8" width="9.85546875" style="1" customWidth="1"/>
    <col min="9" max="16384" width="8.85546875" style="1"/>
  </cols>
  <sheetData>
    <row r="1" spans="1:8" ht="60" customHeight="1" x14ac:dyDescent="0.25">
      <c r="A1" s="24" t="s">
        <v>129</v>
      </c>
      <c r="C1"/>
      <c r="D1"/>
      <c r="E1"/>
      <c r="F1" s="13"/>
      <c r="G1" s="13"/>
      <c r="H1"/>
    </row>
    <row r="2" spans="1:8" ht="15" customHeight="1" x14ac:dyDescent="0.25">
      <c r="A2" s="24" t="s">
        <v>345</v>
      </c>
      <c r="C2"/>
      <c r="D2"/>
      <c r="E2"/>
      <c r="F2" s="13"/>
      <c r="G2" s="13"/>
      <c r="H2"/>
    </row>
    <row r="3" spans="1:8" ht="15" customHeight="1" x14ac:dyDescent="0.25">
      <c r="A3" s="24" t="s">
        <v>346</v>
      </c>
      <c r="C3"/>
      <c r="D3"/>
      <c r="E3"/>
      <c r="F3" s="13"/>
      <c r="G3" s="13"/>
      <c r="H3"/>
    </row>
    <row r="4" spans="1:8" ht="15" customHeight="1" x14ac:dyDescent="0.25">
      <c r="A4" s="24" t="s">
        <v>144</v>
      </c>
      <c r="C4" s="40" t="s">
        <v>38</v>
      </c>
      <c r="D4" s="40" t="s">
        <v>39</v>
      </c>
      <c r="E4" s="40" t="s">
        <v>40</v>
      </c>
      <c r="F4" s="13"/>
      <c r="G4" s="13"/>
      <c r="H4"/>
    </row>
    <row r="5" spans="1:8" s="4" customFormat="1" ht="15" customHeight="1" x14ac:dyDescent="0.25">
      <c r="A5" s="24" t="s">
        <v>145</v>
      </c>
      <c r="B5" s="17"/>
      <c r="C5" s="44" t="s">
        <v>88</v>
      </c>
      <c r="D5" s="11"/>
      <c r="E5" s="45" t="s">
        <v>41</v>
      </c>
      <c r="F5" s="13"/>
      <c r="G5" s="13"/>
      <c r="H5"/>
    </row>
    <row r="6" spans="1:8" s="4" customFormat="1" ht="15" customHeight="1" x14ac:dyDescent="0.25">
      <c r="A6" s="24" t="s">
        <v>291</v>
      </c>
      <c r="B6" s="17"/>
      <c r="C6" s="44" t="s">
        <v>95</v>
      </c>
      <c r="D6" s="12"/>
      <c r="E6" s="45"/>
      <c r="F6" s="13"/>
      <c r="G6" s="13"/>
      <c r="H6"/>
    </row>
    <row r="7" spans="1:8" s="4" customFormat="1" ht="15" customHeight="1" x14ac:dyDescent="0.25">
      <c r="A7" s="24" t="s">
        <v>126</v>
      </c>
      <c r="B7" s="17"/>
      <c r="C7" s="44" t="s">
        <v>90</v>
      </c>
      <c r="D7" s="12"/>
      <c r="E7" s="45"/>
      <c r="F7" s="13"/>
      <c r="G7" s="13"/>
      <c r="H7"/>
    </row>
    <row r="8" spans="1:8" s="4" customFormat="1" ht="15" customHeight="1" x14ac:dyDescent="0.25">
      <c r="A8" s="24"/>
      <c r="B8" s="17"/>
      <c r="C8" s="44" t="s">
        <v>89</v>
      </c>
      <c r="D8" s="12"/>
      <c r="E8" s="45"/>
      <c r="F8" s="13"/>
      <c r="G8" s="13"/>
      <c r="H8"/>
    </row>
    <row r="9" spans="1:8" s="4" customFormat="1" ht="15" customHeight="1" x14ac:dyDescent="0.25">
      <c r="A9" s="24"/>
      <c r="B9" s="17"/>
      <c r="C9" s="46" t="s">
        <v>100</v>
      </c>
      <c r="D9" s="59"/>
      <c r="E9" s="60"/>
      <c r="F9" s="13"/>
      <c r="G9" s="13"/>
      <c r="H9"/>
    </row>
    <row r="10" spans="1:8" s="4" customFormat="1" ht="15" customHeight="1" x14ac:dyDescent="0.25">
      <c r="A10" s="24"/>
      <c r="B10" s="17"/>
      <c r="C10"/>
      <c r="D10"/>
      <c r="E10"/>
      <c r="F10" s="13"/>
      <c r="G10" s="13"/>
      <c r="H10"/>
    </row>
    <row r="11" spans="1:8" s="4" customFormat="1" ht="15" customHeight="1" x14ac:dyDescent="0.25">
      <c r="A11" s="24"/>
      <c r="B11" s="17"/>
      <c r="C11"/>
      <c r="D11"/>
      <c r="E11"/>
      <c r="F11" s="13"/>
      <c r="G11" s="13"/>
      <c r="H11"/>
    </row>
    <row r="12" spans="1:8" s="4" customFormat="1" ht="15" customHeight="1" x14ac:dyDescent="0.25">
      <c r="A12" s="24"/>
      <c r="B12" s="17"/>
      <c r="C12"/>
      <c r="D12"/>
      <c r="E12"/>
      <c r="F12" s="13"/>
      <c r="G12" s="13"/>
      <c r="H12"/>
    </row>
    <row r="13" spans="1:8" s="4" customFormat="1" ht="15" customHeight="1" x14ac:dyDescent="0.25">
      <c r="A13" s="24"/>
      <c r="B13" s="17"/>
      <c r="C13"/>
      <c r="D13"/>
      <c r="E13"/>
      <c r="F13" s="13"/>
      <c r="G13" s="13"/>
      <c r="H13"/>
    </row>
    <row r="14" spans="1:8" s="4" customFormat="1" ht="15" customHeight="1" x14ac:dyDescent="0.25">
      <c r="A14" s="24"/>
      <c r="B14" s="17"/>
      <c r="C14"/>
      <c r="D14"/>
      <c r="E14"/>
      <c r="F14" s="13"/>
      <c r="G14" s="13"/>
      <c r="H14"/>
    </row>
    <row r="15" spans="1:8" s="4" customFormat="1" ht="15" customHeight="1" x14ac:dyDescent="0.25">
      <c r="A15" s="24"/>
      <c r="B15" s="17"/>
      <c r="C15"/>
      <c r="D15"/>
      <c r="E15"/>
      <c r="F15" s="13"/>
      <c r="G15" s="13"/>
      <c r="H15"/>
    </row>
    <row r="16" spans="1:8" s="4" customFormat="1" ht="15" customHeight="1" x14ac:dyDescent="0.25">
      <c r="A16" s="24"/>
      <c r="B16" s="17"/>
      <c r="C16"/>
      <c r="D16"/>
      <c r="E16"/>
      <c r="F16" s="13"/>
      <c r="G16" s="13"/>
      <c r="H16"/>
    </row>
    <row r="17" spans="1:8" s="4" customFormat="1" ht="15" customHeight="1" x14ac:dyDescent="0.25">
      <c r="A17" s="24"/>
      <c r="B17" s="17"/>
      <c r="C17"/>
      <c r="D17"/>
      <c r="E17"/>
      <c r="F17" s="13"/>
      <c r="G17" s="13"/>
      <c r="H17"/>
    </row>
    <row r="18" spans="1:8" s="4" customFormat="1" ht="15" customHeight="1" x14ac:dyDescent="0.25">
      <c r="A18" s="24"/>
      <c r="B18" s="17"/>
      <c r="C18"/>
      <c r="D18"/>
      <c r="E18"/>
      <c r="F18" s="13"/>
      <c r="G18" s="13"/>
      <c r="H18"/>
    </row>
    <row r="19" spans="1:8" s="4" customFormat="1" ht="15" customHeight="1" x14ac:dyDescent="0.25">
      <c r="A19" s="24"/>
      <c r="B19" s="17"/>
      <c r="C19"/>
      <c r="D19"/>
      <c r="E19"/>
      <c r="F19" s="13"/>
      <c r="G19" s="13"/>
      <c r="H19"/>
    </row>
    <row r="20" spans="1:8" s="4" customFormat="1" ht="15" customHeight="1" x14ac:dyDescent="0.25">
      <c r="A20" s="24"/>
      <c r="B20" s="17"/>
      <c r="C20"/>
      <c r="D20"/>
      <c r="E20"/>
      <c r="F20" s="13"/>
      <c r="G20" s="13"/>
      <c r="H20"/>
    </row>
    <row r="21" spans="1:8" s="4" customFormat="1" ht="15" customHeight="1" x14ac:dyDescent="0.25">
      <c r="A21" s="24"/>
      <c r="B21" s="17"/>
      <c r="C21"/>
      <c r="D21"/>
      <c r="E21"/>
      <c r="F21" s="13"/>
      <c r="G21" s="13"/>
      <c r="H21"/>
    </row>
    <row r="22" spans="1:8" s="4" customFormat="1" ht="15" customHeight="1" x14ac:dyDescent="0.25">
      <c r="A22" s="24"/>
      <c r="B22" s="17"/>
      <c r="F22" s="14"/>
      <c r="G22" s="14"/>
    </row>
    <row r="23" spans="1:8" s="4" customFormat="1" ht="15" customHeight="1" x14ac:dyDescent="0.25">
      <c r="A23" s="24"/>
      <c r="B23" s="17"/>
      <c r="F23" s="14"/>
      <c r="G23" s="14"/>
    </row>
    <row r="24" spans="1:8" s="4" customFormat="1" ht="15" customHeight="1" x14ac:dyDescent="0.25">
      <c r="A24" s="24"/>
      <c r="B24" s="17"/>
      <c r="F24" s="14"/>
      <c r="G24" s="14"/>
    </row>
    <row r="27" spans="1:8" ht="15" customHeight="1" x14ac:dyDescent="0.25">
      <c r="A27" s="24" t="s">
        <v>146</v>
      </c>
    </row>
    <row r="28" spans="1:8" ht="15" customHeight="1" x14ac:dyDescent="0.25">
      <c r="A28" s="24" t="s">
        <v>147</v>
      </c>
    </row>
    <row r="29" spans="1:8" ht="15" customHeight="1" x14ac:dyDescent="0.25">
      <c r="A29" s="24" t="s">
        <v>292</v>
      </c>
    </row>
    <row r="30" spans="1:8" ht="15" customHeight="1" x14ac:dyDescent="0.25">
      <c r="A30" s="24" t="s">
        <v>293</v>
      </c>
      <c r="C30"/>
      <c r="D30"/>
      <c r="E30"/>
      <c r="F30" s="13"/>
    </row>
    <row r="31" spans="1:8" ht="15" customHeight="1" x14ac:dyDescent="0.25">
      <c r="A31" s="24" t="s">
        <v>294</v>
      </c>
      <c r="C31" s="40" t="s">
        <v>42</v>
      </c>
      <c r="D31" s="40" t="s">
        <v>39</v>
      </c>
      <c r="E31" s="40" t="s">
        <v>40</v>
      </c>
      <c r="F31" s="61" t="s">
        <v>99</v>
      </c>
    </row>
    <row r="32" spans="1:8" ht="15" customHeight="1" x14ac:dyDescent="0.25">
      <c r="A32" s="24" t="s">
        <v>295</v>
      </c>
      <c r="C32" s="9" t="s">
        <v>91</v>
      </c>
      <c r="D32"/>
      <c r="E32"/>
      <c r="F32"/>
      <c r="G32"/>
    </row>
    <row r="33" spans="1:8" ht="15" customHeight="1" x14ac:dyDescent="0.25">
      <c r="A33" s="24" t="s">
        <v>296</v>
      </c>
      <c r="C33" s="9" t="s">
        <v>92</v>
      </c>
      <c r="D33"/>
      <c r="E33"/>
      <c r="F33"/>
      <c r="G33"/>
      <c r="H33"/>
    </row>
    <row r="34" spans="1:8" ht="15" customHeight="1" x14ac:dyDescent="0.25">
      <c r="A34" s="24" t="s">
        <v>297</v>
      </c>
      <c r="C34" s="9" t="s">
        <v>93</v>
      </c>
      <c r="D34"/>
      <c r="E34"/>
      <c r="F34"/>
      <c r="G34"/>
      <c r="H34"/>
    </row>
    <row r="35" spans="1:8" ht="15" customHeight="1" x14ac:dyDescent="0.25">
      <c r="A35" s="24" t="s">
        <v>148</v>
      </c>
      <c r="C35" s="9" t="s">
        <v>94</v>
      </c>
      <c r="D35"/>
      <c r="E35"/>
      <c r="F35"/>
      <c r="G35"/>
      <c r="H35"/>
    </row>
    <row r="36" spans="1:8" ht="15" customHeight="1" x14ac:dyDescent="0.25">
      <c r="C36" s="9" t="s">
        <v>96</v>
      </c>
      <c r="D36"/>
      <c r="E36"/>
      <c r="F36"/>
      <c r="G36"/>
      <c r="H36"/>
    </row>
    <row r="37" spans="1:8" ht="15" customHeight="1" x14ac:dyDescent="0.25">
      <c r="C37" s="9" t="s">
        <v>97</v>
      </c>
      <c r="D37"/>
      <c r="E37"/>
      <c r="F37"/>
      <c r="G37"/>
      <c r="H37"/>
    </row>
    <row r="38" spans="1:8" ht="15" customHeight="1" x14ac:dyDescent="0.25">
      <c r="C38" s="9" t="s">
        <v>98</v>
      </c>
      <c r="D38"/>
      <c r="E38"/>
      <c r="F38"/>
      <c r="G38"/>
      <c r="H38"/>
    </row>
    <row r="39" spans="1:8" ht="15" customHeight="1" x14ac:dyDescent="0.25">
      <c r="C39" s="42" t="s">
        <v>102</v>
      </c>
      <c r="D39" s="43"/>
      <c r="E39" s="43"/>
      <c r="F39" s="43"/>
      <c r="G39"/>
      <c r="H39"/>
    </row>
    <row r="40" spans="1:8" ht="15" customHeight="1" x14ac:dyDescent="0.25">
      <c r="C40" s="16"/>
      <c r="D40" s="16"/>
      <c r="E40" s="16"/>
      <c r="F40" s="16"/>
      <c r="G40" s="13"/>
      <c r="H40"/>
    </row>
    <row r="41" spans="1:8" ht="15" customHeight="1" x14ac:dyDescent="0.25">
      <c r="C41"/>
      <c r="D41"/>
      <c r="E41"/>
      <c r="F41" s="13"/>
      <c r="G41" s="13"/>
      <c r="H41"/>
    </row>
    <row r="42" spans="1:8" ht="15" customHeight="1" x14ac:dyDescent="0.25">
      <c r="C42"/>
      <c r="D42"/>
      <c r="E42"/>
      <c r="F42" s="13"/>
      <c r="G42" s="13"/>
      <c r="H42"/>
    </row>
    <row r="43" spans="1:8" ht="15" customHeight="1" x14ac:dyDescent="0.25">
      <c r="C43"/>
      <c r="D43"/>
      <c r="E43"/>
      <c r="F43" s="13"/>
      <c r="G43"/>
      <c r="H43"/>
    </row>
    <row r="44" spans="1:8" ht="15" customHeight="1" x14ac:dyDescent="0.25">
      <c r="C44"/>
      <c r="D44"/>
      <c r="E44"/>
      <c r="F44" s="13"/>
      <c r="G44"/>
      <c r="H44"/>
    </row>
    <row r="45" spans="1:8" ht="15" customHeight="1" x14ac:dyDescent="0.25">
      <c r="C45"/>
      <c r="D45"/>
      <c r="E45"/>
      <c r="F45" s="13"/>
      <c r="G45"/>
      <c r="H45"/>
    </row>
    <row r="46" spans="1:8" ht="15" customHeight="1" x14ac:dyDescent="0.25">
      <c r="C46"/>
      <c r="D46"/>
      <c r="E46"/>
      <c r="F46" s="13"/>
      <c r="G46"/>
      <c r="H46"/>
    </row>
    <row r="47" spans="1:8" ht="15" customHeight="1" x14ac:dyDescent="0.25">
      <c r="C47"/>
      <c r="D47"/>
      <c r="E47"/>
      <c r="F47" s="13"/>
      <c r="G47"/>
      <c r="H47"/>
    </row>
    <row r="48" spans="1:8" ht="15" customHeight="1" x14ac:dyDescent="0.25">
      <c r="C48"/>
      <c r="D48"/>
      <c r="E48"/>
      <c r="F48" s="13"/>
      <c r="G48"/>
      <c r="H48"/>
    </row>
    <row r="49" spans="1:8" ht="15" customHeight="1" x14ac:dyDescent="0.25">
      <c r="A49" s="24" t="s">
        <v>149</v>
      </c>
      <c r="C49"/>
      <c r="D49"/>
      <c r="E49"/>
      <c r="F49" s="13"/>
      <c r="G49"/>
      <c r="H49"/>
    </row>
    <row r="50" spans="1:8" ht="15" customHeight="1" x14ac:dyDescent="0.25">
      <c r="A50" s="24" t="s">
        <v>150</v>
      </c>
      <c r="C50"/>
      <c r="D50"/>
      <c r="E50"/>
      <c r="F50" s="13"/>
      <c r="G50"/>
      <c r="H50"/>
    </row>
    <row r="51" spans="1:8" ht="15" customHeight="1" x14ac:dyDescent="0.25">
      <c r="A51" s="24" t="s">
        <v>370</v>
      </c>
      <c r="C51"/>
      <c r="D51"/>
      <c r="E51"/>
      <c r="F51" s="13"/>
      <c r="G51"/>
      <c r="H51"/>
    </row>
    <row r="52" spans="1:8" ht="15" customHeight="1" x14ac:dyDescent="0.25">
      <c r="A52" s="24" t="s">
        <v>156</v>
      </c>
      <c r="C52"/>
      <c r="D52"/>
      <c r="E52"/>
      <c r="F52" s="13"/>
      <c r="G52"/>
      <c r="H52"/>
    </row>
    <row r="53" spans="1:8" ht="15" customHeight="1" x14ac:dyDescent="0.25">
      <c r="A53" s="24" t="s">
        <v>151</v>
      </c>
      <c r="C53"/>
      <c r="D53"/>
      <c r="E53"/>
      <c r="F53" s="13"/>
      <c r="G53"/>
      <c r="H53"/>
    </row>
    <row r="54" spans="1:8" ht="15" customHeight="1" x14ac:dyDescent="0.25">
      <c r="A54" s="24" t="s">
        <v>152</v>
      </c>
      <c r="C54"/>
      <c r="D54"/>
      <c r="E54"/>
      <c r="F54" s="13"/>
      <c r="G54"/>
      <c r="H54"/>
    </row>
    <row r="55" spans="1:8" ht="15" customHeight="1" x14ac:dyDescent="0.25">
      <c r="A55" s="24" t="s">
        <v>153</v>
      </c>
      <c r="C55" s="40" t="s">
        <v>62</v>
      </c>
      <c r="E55" s="40" t="s">
        <v>39</v>
      </c>
      <c r="F55" s="61" t="s">
        <v>43</v>
      </c>
      <c r="G55" s="40" t="s">
        <v>101</v>
      </c>
      <c r="H55" s="40" t="s">
        <v>40</v>
      </c>
    </row>
    <row r="56" spans="1:8" ht="15" customHeight="1" x14ac:dyDescent="0.25">
      <c r="A56" s="24" t="s">
        <v>154</v>
      </c>
      <c r="C56" s="7" t="s">
        <v>44</v>
      </c>
      <c r="E56" s="8" t="str">
        <f>LEFT(C56,FIND(" ",C56)-1)</f>
        <v>Yvonne</v>
      </c>
      <c r="F56" s="8" t="str">
        <f>RIGHT(C56,LEN(C56)-FIND(" ",C56))</f>
        <v>Francis McKay</v>
      </c>
      <c r="G56" s="8" t="str">
        <f>LEFT(F56,FIND(" ",F56)-1)</f>
        <v>Francis</v>
      </c>
      <c r="H56" s="8" t="str">
        <f>RIGHT(F56,LEN(F56)-FIND(" ",F56))</f>
        <v>McKay</v>
      </c>
    </row>
    <row r="57" spans="1:8" ht="15" customHeight="1" x14ac:dyDescent="0.25">
      <c r="A57" s="24" t="s">
        <v>371</v>
      </c>
      <c r="C57"/>
      <c r="D57"/>
      <c r="E57"/>
      <c r="F57" s="13"/>
      <c r="G57"/>
      <c r="H57"/>
    </row>
    <row r="58" spans="1:8" ht="15" customHeight="1" x14ac:dyDescent="0.25">
      <c r="A58" s="24" t="s">
        <v>155</v>
      </c>
      <c r="C58"/>
      <c r="D58"/>
      <c r="E58"/>
      <c r="F58" s="13"/>
      <c r="G58"/>
      <c r="H58"/>
    </row>
    <row r="59" spans="1:8" ht="15" customHeight="1" x14ac:dyDescent="0.25">
      <c r="A59" s="24" t="s">
        <v>157</v>
      </c>
      <c r="D59"/>
      <c r="E59"/>
      <c r="F59" s="13"/>
      <c r="G59"/>
      <c r="H59"/>
    </row>
    <row r="60" spans="1:8" ht="15" customHeight="1" x14ac:dyDescent="0.25">
      <c r="A60" s="24" t="s">
        <v>158</v>
      </c>
      <c r="D60"/>
      <c r="E60"/>
      <c r="F60" s="13"/>
      <c r="G60"/>
      <c r="H60"/>
    </row>
    <row r="61" spans="1:8" ht="15" customHeight="1" x14ac:dyDescent="0.25">
      <c r="A61" s="62" t="s">
        <v>298</v>
      </c>
      <c r="C61"/>
      <c r="D61"/>
      <c r="E61"/>
      <c r="F61" s="13"/>
      <c r="G61"/>
      <c r="H61"/>
    </row>
    <row r="62" spans="1:8" ht="15" customHeight="1" x14ac:dyDescent="0.25">
      <c r="A62" s="24" t="s">
        <v>372</v>
      </c>
      <c r="D62"/>
      <c r="E62"/>
      <c r="F62" s="13"/>
      <c r="G62"/>
      <c r="H62"/>
    </row>
    <row r="63" spans="1:8" ht="15" customHeight="1" x14ac:dyDescent="0.25">
      <c r="A63" s="24" t="s">
        <v>178</v>
      </c>
      <c r="D63"/>
      <c r="E63"/>
      <c r="F63" s="13"/>
      <c r="G63"/>
      <c r="H63"/>
    </row>
    <row r="64" spans="1:8" ht="15" customHeight="1" x14ac:dyDescent="0.25">
      <c r="C64"/>
      <c r="D64"/>
      <c r="E64"/>
      <c r="F64" s="13"/>
      <c r="G64"/>
      <c r="H64"/>
    </row>
    <row r="65" spans="1:8" ht="15" customHeight="1" x14ac:dyDescent="0.25">
      <c r="D65"/>
      <c r="E65"/>
      <c r="F65" s="13"/>
      <c r="G65"/>
      <c r="H65"/>
    </row>
    <row r="66" spans="1:8" ht="15" customHeight="1" x14ac:dyDescent="0.25">
      <c r="D66"/>
      <c r="E66"/>
      <c r="F66" s="13"/>
      <c r="G66"/>
      <c r="H66"/>
    </row>
    <row r="67" spans="1:8" ht="15" customHeight="1" x14ac:dyDescent="0.25">
      <c r="C67"/>
      <c r="D67"/>
      <c r="E67"/>
      <c r="F67" s="13"/>
      <c r="G67"/>
      <c r="H67"/>
    </row>
    <row r="68" spans="1:8" ht="15" customHeight="1" x14ac:dyDescent="0.25">
      <c r="D68"/>
      <c r="E68"/>
      <c r="F68" s="13"/>
      <c r="G68"/>
      <c r="H68"/>
    </row>
    <row r="69" spans="1:8" ht="15" customHeight="1" x14ac:dyDescent="0.25">
      <c r="D69"/>
      <c r="E69"/>
      <c r="F69" s="13"/>
      <c r="G69" s="13"/>
      <c r="H69"/>
    </row>
    <row r="70" spans="1:8" ht="15" customHeight="1" x14ac:dyDescent="0.25">
      <c r="C70"/>
      <c r="D70"/>
      <c r="E70"/>
      <c r="F70" s="13"/>
      <c r="G70" s="13"/>
      <c r="H70"/>
    </row>
    <row r="71" spans="1:8" ht="15" customHeight="1" x14ac:dyDescent="0.25">
      <c r="C71"/>
      <c r="D71"/>
      <c r="E71"/>
      <c r="F71" s="13"/>
      <c r="G71" s="13"/>
      <c r="H71"/>
    </row>
    <row r="72" spans="1:8" ht="15" customHeight="1" x14ac:dyDescent="0.25">
      <c r="C72"/>
      <c r="D72"/>
      <c r="E72"/>
      <c r="F72" s="13"/>
      <c r="G72" s="13"/>
      <c r="H72"/>
    </row>
    <row r="73" spans="1:8" ht="15" customHeight="1" x14ac:dyDescent="0.25">
      <c r="C73"/>
      <c r="D73"/>
      <c r="E73"/>
      <c r="F73" s="13"/>
      <c r="G73" s="13"/>
      <c r="H73"/>
    </row>
    <row r="74" spans="1:8" ht="15" customHeight="1" x14ac:dyDescent="0.25">
      <c r="C74"/>
      <c r="D74"/>
      <c r="E74"/>
      <c r="F74" s="13"/>
      <c r="G74" s="13"/>
      <c r="H74"/>
    </row>
    <row r="75" spans="1:8" ht="15" customHeight="1" x14ac:dyDescent="0.25">
      <c r="C75"/>
      <c r="D75"/>
      <c r="E75"/>
      <c r="F75" s="13"/>
      <c r="G75" s="13"/>
      <c r="H75"/>
    </row>
    <row r="76" spans="1:8" ht="15" customHeight="1" x14ac:dyDescent="0.25">
      <c r="C76"/>
      <c r="D76"/>
      <c r="E76"/>
      <c r="F76" s="13"/>
      <c r="G76" s="13"/>
      <c r="H76"/>
    </row>
    <row r="77" spans="1:8" ht="15" customHeight="1" x14ac:dyDescent="0.25">
      <c r="C77"/>
      <c r="D77"/>
      <c r="E77"/>
      <c r="F77" s="13"/>
      <c r="G77" s="13"/>
      <c r="H77"/>
    </row>
    <row r="78" spans="1:8" ht="15" customHeight="1" x14ac:dyDescent="0.25">
      <c r="C78"/>
      <c r="D78"/>
      <c r="E78"/>
      <c r="F78" s="13"/>
      <c r="G78" s="13"/>
      <c r="H78"/>
    </row>
    <row r="79" spans="1:8" ht="15" customHeight="1" x14ac:dyDescent="0.25">
      <c r="A79" s="24" t="s">
        <v>113</v>
      </c>
      <c r="C79"/>
      <c r="D79"/>
      <c r="E79"/>
      <c r="F79" s="13"/>
      <c r="G79" s="13"/>
      <c r="H79"/>
    </row>
    <row r="80" spans="1:8" ht="15" customHeight="1" x14ac:dyDescent="0.25">
      <c r="A80" s="24" t="s">
        <v>159</v>
      </c>
      <c r="C80"/>
      <c r="D80"/>
      <c r="E80"/>
      <c r="F80" s="13"/>
      <c r="G80" s="13"/>
      <c r="H80"/>
    </row>
    <row r="81" spans="1:8" ht="15" customHeight="1" x14ac:dyDescent="0.25">
      <c r="A81" s="24" t="s">
        <v>160</v>
      </c>
      <c r="C81"/>
      <c r="D81"/>
      <c r="E81"/>
      <c r="F81" s="13"/>
      <c r="G81" s="13"/>
      <c r="H81"/>
    </row>
    <row r="82" spans="1:8" ht="15" customHeight="1" x14ac:dyDescent="0.25">
      <c r="A82" s="24" t="s">
        <v>161</v>
      </c>
      <c r="C82"/>
      <c r="D82"/>
      <c r="E82"/>
      <c r="F82" s="13"/>
      <c r="G82" s="13"/>
      <c r="H82"/>
    </row>
    <row r="83" spans="1:8" ht="15" customHeight="1" x14ac:dyDescent="0.25">
      <c r="A83" s="24" t="s">
        <v>162</v>
      </c>
      <c r="C83"/>
      <c r="D83"/>
      <c r="E83"/>
      <c r="F83" s="13"/>
      <c r="G83" s="13"/>
      <c r="H83"/>
    </row>
    <row r="84" spans="1:8" ht="15" customHeight="1" x14ac:dyDescent="0.25">
      <c r="A84" s="24" t="s">
        <v>163</v>
      </c>
      <c r="C84"/>
      <c r="D84"/>
      <c r="E84"/>
      <c r="F84" s="13"/>
      <c r="G84" s="13"/>
      <c r="H84"/>
    </row>
    <row r="85" spans="1:8" ht="15" customHeight="1" x14ac:dyDescent="0.25">
      <c r="A85" s="24" t="s">
        <v>164</v>
      </c>
      <c r="C85"/>
      <c r="D85"/>
      <c r="E85"/>
      <c r="F85" s="13"/>
      <c r="G85" s="13"/>
      <c r="H85"/>
    </row>
    <row r="86" spans="1:8" ht="15" customHeight="1" x14ac:dyDescent="0.25">
      <c r="A86" s="24" t="s">
        <v>112</v>
      </c>
      <c r="C86"/>
      <c r="D86"/>
      <c r="E86"/>
      <c r="F86" s="13"/>
      <c r="G86" s="13"/>
      <c r="H86"/>
    </row>
  </sheetData>
  <hyperlinks>
    <hyperlink ref="A80" r:id="rId1" tooltip="Select to learn about splitting text into different columns from the web"/>
    <hyperlink ref="A81" r:id="rId2" tooltip="Select to learn all about Get &amp; Transform from the web"/>
    <hyperlink ref="A82" r:id="rId3" tooltip="Select to learn all about the LEFT function from the web"/>
    <hyperlink ref="A83" r:id="rId4" tooltip="Select to learn all about the RIGHT function from the web"/>
    <hyperlink ref="A84" r:id="rId5" tooltip="Select to learn all about the FIND function from the web"/>
    <hyperlink ref="A85" r:id="rId6" tooltip="Select to learn all about the LEN function from the web"/>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7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16384" width="8.85546875" style="1"/>
  </cols>
  <sheetData>
    <row r="1" spans="1:8" ht="60" customHeight="1" x14ac:dyDescent="0.25">
      <c r="A1" s="24" t="s">
        <v>130</v>
      </c>
      <c r="C1"/>
      <c r="D1"/>
      <c r="E1"/>
      <c r="F1"/>
      <c r="G1"/>
      <c r="H1"/>
    </row>
    <row r="2" spans="1:8" ht="15" customHeight="1" x14ac:dyDescent="0.25">
      <c r="A2" s="24" t="s">
        <v>165</v>
      </c>
      <c r="C2"/>
      <c r="D2"/>
      <c r="E2"/>
      <c r="F2"/>
      <c r="G2"/>
      <c r="H2"/>
    </row>
    <row r="3" spans="1:8" ht="15" customHeight="1" x14ac:dyDescent="0.25">
      <c r="A3" s="24" t="s">
        <v>166</v>
      </c>
      <c r="C3"/>
      <c r="D3"/>
      <c r="E3"/>
      <c r="F3"/>
      <c r="G3"/>
      <c r="H3"/>
    </row>
    <row r="4" spans="1:8" ht="15" customHeight="1" x14ac:dyDescent="0.25">
      <c r="A4" s="24" t="s">
        <v>167</v>
      </c>
      <c r="C4"/>
      <c r="D4"/>
      <c r="E4"/>
      <c r="F4"/>
      <c r="G4"/>
      <c r="H4"/>
    </row>
    <row r="5" spans="1:8" s="4" customFormat="1" ht="15" customHeight="1" x14ac:dyDescent="0.25">
      <c r="A5" s="24" t="s">
        <v>168</v>
      </c>
      <c r="B5" s="17"/>
      <c r="C5" s="40" t="s">
        <v>11</v>
      </c>
      <c r="D5" s="7" t="s">
        <v>12</v>
      </c>
      <c r="E5" s="7" t="s">
        <v>13</v>
      </c>
      <c r="F5" s="7" t="s">
        <v>14</v>
      </c>
      <c r="G5" s="7" t="s">
        <v>15</v>
      </c>
      <c r="H5" s="7" t="s">
        <v>16</v>
      </c>
    </row>
    <row r="6" spans="1:8" s="4" customFormat="1" ht="15" customHeight="1" x14ac:dyDescent="0.25">
      <c r="A6" s="24" t="s">
        <v>299</v>
      </c>
      <c r="B6" s="17"/>
      <c r="C6" s="40" t="s">
        <v>1</v>
      </c>
      <c r="D6" s="7">
        <v>50</v>
      </c>
      <c r="E6" s="7">
        <v>100</v>
      </c>
      <c r="F6" s="7">
        <v>40</v>
      </c>
      <c r="G6" s="7">
        <v>50</v>
      </c>
      <c r="H6" s="7">
        <v>20</v>
      </c>
    </row>
    <row r="7" spans="1:8" s="4" customFormat="1" ht="15" customHeight="1" x14ac:dyDescent="0.25">
      <c r="A7" s="24" t="s">
        <v>300</v>
      </c>
      <c r="B7" s="17"/>
      <c r="C7"/>
      <c r="D7"/>
      <c r="E7"/>
      <c r="F7"/>
      <c r="G7"/>
      <c r="H7"/>
    </row>
    <row r="8" spans="1:8" s="4" customFormat="1" ht="15" customHeight="1" x14ac:dyDescent="0.25">
      <c r="A8" s="24" t="s">
        <v>169</v>
      </c>
      <c r="B8" s="17"/>
      <c r="C8"/>
      <c r="D8"/>
      <c r="E8"/>
      <c r="F8"/>
      <c r="G8"/>
      <c r="H8"/>
    </row>
    <row r="9" spans="1:8" s="4" customFormat="1" ht="15" customHeight="1" x14ac:dyDescent="0.25">
      <c r="A9" s="24" t="s">
        <v>118</v>
      </c>
      <c r="B9" s="17" t="s">
        <v>170</v>
      </c>
      <c r="C9" s="8"/>
      <c r="D9"/>
      <c r="E9"/>
      <c r="F9"/>
      <c r="G9"/>
      <c r="H9"/>
    </row>
    <row r="10" spans="1:8" s="4" customFormat="1" ht="15" customHeight="1" x14ac:dyDescent="0.25">
      <c r="A10" s="24"/>
      <c r="B10" s="17"/>
      <c r="C10"/>
      <c r="D10"/>
      <c r="E10"/>
      <c r="F10"/>
      <c r="G10"/>
      <c r="H10"/>
    </row>
    <row r="11" spans="1:8" s="4" customFormat="1" ht="15" customHeight="1" x14ac:dyDescent="0.25">
      <c r="A11" s="24"/>
      <c r="B11" s="17"/>
      <c r="C11"/>
      <c r="D11"/>
      <c r="E11"/>
      <c r="F11"/>
      <c r="G11"/>
      <c r="H11"/>
    </row>
    <row r="12" spans="1:8" s="4" customFormat="1" ht="15" customHeight="1" x14ac:dyDescent="0.25">
      <c r="A12" s="24"/>
      <c r="B12" s="17"/>
      <c r="C12"/>
      <c r="D12"/>
      <c r="E12"/>
      <c r="F12"/>
      <c r="G12"/>
      <c r="H12"/>
    </row>
    <row r="13" spans="1:8" s="4" customFormat="1" ht="15" customHeight="1" x14ac:dyDescent="0.25">
      <c r="A13" s="24"/>
      <c r="B13" s="17"/>
      <c r="C13"/>
      <c r="D13"/>
      <c r="E13"/>
      <c r="F13"/>
      <c r="G13"/>
      <c r="H13"/>
    </row>
    <row r="14" spans="1:8" s="4" customFormat="1" ht="15" customHeight="1" x14ac:dyDescent="0.25">
      <c r="A14" s="24"/>
      <c r="B14" s="17"/>
      <c r="C14"/>
      <c r="D14"/>
      <c r="E14"/>
      <c r="F14"/>
      <c r="G14"/>
      <c r="H14"/>
    </row>
    <row r="15" spans="1:8" s="4" customFormat="1" ht="15" customHeight="1" x14ac:dyDescent="0.25">
      <c r="A15" s="24"/>
      <c r="B15" s="17"/>
      <c r="C15"/>
      <c r="D15"/>
      <c r="E15"/>
      <c r="F15"/>
      <c r="G15"/>
      <c r="H15"/>
    </row>
    <row r="16" spans="1:8" s="4" customFormat="1" ht="15" customHeight="1" x14ac:dyDescent="0.25">
      <c r="A16" s="24"/>
      <c r="B16" s="17"/>
      <c r="C16"/>
      <c r="D16"/>
      <c r="E16"/>
      <c r="F16"/>
      <c r="G16"/>
      <c r="H16"/>
    </row>
    <row r="17" spans="1:8" s="4" customFormat="1" ht="15" customHeight="1" x14ac:dyDescent="0.25">
      <c r="A17" s="24"/>
      <c r="B17" s="17"/>
      <c r="C17"/>
      <c r="D17"/>
      <c r="E17"/>
      <c r="F17"/>
      <c r="G17"/>
      <c r="H17"/>
    </row>
    <row r="18" spans="1:8" s="4" customFormat="1" ht="15" customHeight="1" x14ac:dyDescent="0.25">
      <c r="A18" s="24"/>
      <c r="B18" s="17"/>
      <c r="C18"/>
      <c r="D18"/>
      <c r="E18"/>
      <c r="F18"/>
      <c r="G18"/>
      <c r="H18"/>
    </row>
    <row r="19" spans="1:8" s="4" customFormat="1" ht="15" customHeight="1" x14ac:dyDescent="0.25">
      <c r="A19" s="24"/>
      <c r="B19" s="17"/>
      <c r="C19"/>
      <c r="D19"/>
      <c r="E19"/>
      <c r="F19"/>
      <c r="G19"/>
      <c r="H19"/>
    </row>
    <row r="20" spans="1:8" s="4" customFormat="1" ht="15" customHeight="1" x14ac:dyDescent="0.25">
      <c r="A20" s="24"/>
      <c r="B20" s="17"/>
      <c r="C20"/>
      <c r="D20"/>
      <c r="E20"/>
      <c r="F20"/>
      <c r="G20"/>
      <c r="H20"/>
    </row>
    <row r="21" spans="1:8" s="4" customFormat="1" ht="15" customHeight="1" x14ac:dyDescent="0.25">
      <c r="A21" s="24"/>
      <c r="B21" s="17"/>
      <c r="C21"/>
      <c r="D21"/>
      <c r="E21"/>
      <c r="F21"/>
      <c r="G21"/>
      <c r="H21"/>
    </row>
    <row r="22" spans="1:8" s="4" customFormat="1" ht="15" customHeight="1" x14ac:dyDescent="0.25">
      <c r="A22" s="24"/>
      <c r="B22" s="17"/>
    </row>
    <row r="23" spans="1:8" s="4" customFormat="1" ht="15" customHeight="1" x14ac:dyDescent="0.25">
      <c r="A23" s="24"/>
      <c r="B23" s="17"/>
    </row>
    <row r="24" spans="1:8" s="4" customFormat="1" ht="15" customHeight="1" x14ac:dyDescent="0.25">
      <c r="A24" s="24"/>
      <c r="B24" s="17"/>
    </row>
    <row r="27" spans="1:8" ht="15" customHeight="1" x14ac:dyDescent="0.25">
      <c r="A27" s="24" t="s">
        <v>172</v>
      </c>
    </row>
    <row r="28" spans="1:8" ht="15" customHeight="1" x14ac:dyDescent="0.25">
      <c r="A28" s="24" t="s">
        <v>173</v>
      </c>
    </row>
    <row r="29" spans="1:8" ht="15" customHeight="1" x14ac:dyDescent="0.25">
      <c r="A29" s="24" t="s">
        <v>347</v>
      </c>
      <c r="C29"/>
      <c r="D29"/>
      <c r="E29"/>
      <c r="F29"/>
      <c r="G29"/>
    </row>
    <row r="30" spans="1:8" ht="15" customHeight="1" x14ac:dyDescent="0.25">
      <c r="A30" s="63" t="s">
        <v>357</v>
      </c>
      <c r="C30"/>
      <c r="D30"/>
      <c r="E30"/>
      <c r="F30"/>
      <c r="G30"/>
    </row>
    <row r="31" spans="1:8" ht="15" customHeight="1" x14ac:dyDescent="0.25">
      <c r="A31" s="24" t="s">
        <v>174</v>
      </c>
      <c r="C31"/>
      <c r="D31"/>
      <c r="E31"/>
      <c r="F31"/>
      <c r="G31"/>
    </row>
    <row r="32" spans="1:8" ht="15" customHeight="1" x14ac:dyDescent="0.25">
      <c r="A32" s="24" t="s">
        <v>175</v>
      </c>
      <c r="C32"/>
      <c r="D32"/>
      <c r="E32"/>
      <c r="F32"/>
      <c r="G32"/>
    </row>
    <row r="33" spans="1:8" ht="15" customHeight="1" x14ac:dyDescent="0.25">
      <c r="A33" s="24" t="s">
        <v>179</v>
      </c>
      <c r="C33" s="40" t="s">
        <v>11</v>
      </c>
      <c r="D33" s="7" t="s">
        <v>12</v>
      </c>
      <c r="E33" s="7" t="s">
        <v>13</v>
      </c>
      <c r="F33" s="7" t="s">
        <v>14</v>
      </c>
      <c r="G33" s="7" t="s">
        <v>15</v>
      </c>
      <c r="H33" s="7" t="s">
        <v>16</v>
      </c>
    </row>
    <row r="34" spans="1:8" ht="15" customHeight="1" x14ac:dyDescent="0.25">
      <c r="C34" s="40" t="s">
        <v>1</v>
      </c>
      <c r="D34" s="7">
        <v>50</v>
      </c>
      <c r="E34" s="7">
        <v>100</v>
      </c>
      <c r="F34" s="7">
        <v>40</v>
      </c>
      <c r="G34" s="7">
        <v>50</v>
      </c>
      <c r="H34" s="7">
        <v>20</v>
      </c>
    </row>
    <row r="35" spans="1:8" ht="15" customHeight="1" x14ac:dyDescent="0.25">
      <c r="C35"/>
      <c r="D35"/>
      <c r="E35"/>
      <c r="F35"/>
      <c r="G35"/>
      <c r="H35"/>
    </row>
    <row r="36" spans="1:8" ht="15" customHeight="1" x14ac:dyDescent="0.25">
      <c r="C36"/>
      <c r="D36"/>
      <c r="E36"/>
      <c r="F36"/>
      <c r="G36"/>
      <c r="H36"/>
    </row>
    <row r="37" spans="1:8" ht="15" customHeight="1" x14ac:dyDescent="0.25">
      <c r="C37"/>
      <c r="D37"/>
      <c r="E37"/>
      <c r="F37"/>
      <c r="G37"/>
      <c r="H37"/>
    </row>
    <row r="38" spans="1:8" ht="15" customHeight="1" x14ac:dyDescent="0.25">
      <c r="E38"/>
      <c r="F38"/>
      <c r="G38"/>
      <c r="H38"/>
    </row>
    <row r="39" spans="1:8" ht="15" customHeight="1" x14ac:dyDescent="0.25">
      <c r="E39"/>
      <c r="F39"/>
      <c r="G39"/>
      <c r="H39"/>
    </row>
    <row r="40" spans="1:8" ht="15" customHeight="1" x14ac:dyDescent="0.25">
      <c r="C40" s="8"/>
      <c r="D40" s="8"/>
      <c r="E40"/>
      <c r="F40"/>
      <c r="G40"/>
      <c r="H40"/>
    </row>
    <row r="41" spans="1:8" ht="15" customHeight="1" x14ac:dyDescent="0.25">
      <c r="C41" s="8"/>
      <c r="D41" s="8"/>
      <c r="E41"/>
      <c r="F41"/>
      <c r="G41"/>
      <c r="H41"/>
    </row>
    <row r="42" spans="1:8" ht="15" customHeight="1" x14ac:dyDescent="0.25">
      <c r="C42" s="8"/>
      <c r="D42" s="8"/>
      <c r="E42"/>
      <c r="F42"/>
      <c r="G42"/>
      <c r="H42"/>
    </row>
    <row r="43" spans="1:8" ht="15" customHeight="1" x14ac:dyDescent="0.25">
      <c r="C43" s="8"/>
      <c r="D43" s="8"/>
      <c r="E43"/>
      <c r="F43"/>
      <c r="G43"/>
      <c r="H43"/>
    </row>
    <row r="44" spans="1:8" ht="15" customHeight="1" x14ac:dyDescent="0.25">
      <c r="C44" s="8"/>
      <c r="D44" s="8"/>
      <c r="E44"/>
      <c r="F44"/>
      <c r="G44"/>
      <c r="H44"/>
    </row>
    <row r="45" spans="1:8" ht="15" customHeight="1" x14ac:dyDescent="0.25">
      <c r="C45" s="8"/>
      <c r="D45" s="8"/>
      <c r="E45"/>
      <c r="F45"/>
      <c r="G45"/>
      <c r="H45"/>
    </row>
    <row r="46" spans="1:8" ht="15" customHeight="1" x14ac:dyDescent="0.25">
      <c r="C46"/>
      <c r="D46"/>
      <c r="E46"/>
      <c r="F46"/>
      <c r="G46"/>
      <c r="H46"/>
    </row>
    <row r="47" spans="1:8" ht="15" customHeight="1" x14ac:dyDescent="0.25">
      <c r="C47"/>
      <c r="D47"/>
      <c r="E47"/>
      <c r="F47"/>
      <c r="G47"/>
      <c r="H47"/>
    </row>
    <row r="48" spans="1:8" ht="15" customHeight="1" x14ac:dyDescent="0.25">
      <c r="C48"/>
      <c r="D48"/>
      <c r="E48"/>
      <c r="F48"/>
      <c r="G48"/>
      <c r="H48"/>
    </row>
    <row r="49" spans="1:8" ht="15" customHeight="1" x14ac:dyDescent="0.25">
      <c r="C49"/>
      <c r="D49"/>
      <c r="E49"/>
      <c r="F49"/>
      <c r="G49"/>
      <c r="H49"/>
    </row>
    <row r="50" spans="1:8" ht="15" customHeight="1" x14ac:dyDescent="0.25">
      <c r="C50"/>
      <c r="D50"/>
      <c r="E50"/>
      <c r="F50"/>
      <c r="G50"/>
      <c r="H50"/>
    </row>
    <row r="51" spans="1:8" ht="15" customHeight="1" x14ac:dyDescent="0.25">
      <c r="C51"/>
      <c r="D51"/>
      <c r="E51"/>
      <c r="F51"/>
      <c r="G51"/>
      <c r="H51"/>
    </row>
    <row r="52" spans="1:8" ht="15" customHeight="1" x14ac:dyDescent="0.25">
      <c r="C52"/>
      <c r="D52"/>
      <c r="E52"/>
      <c r="F52"/>
      <c r="G52"/>
      <c r="H52"/>
    </row>
    <row r="53" spans="1:8" ht="15" customHeight="1" x14ac:dyDescent="0.25">
      <c r="C53"/>
      <c r="D53"/>
      <c r="E53"/>
      <c r="F53"/>
      <c r="G53"/>
      <c r="H53"/>
    </row>
    <row r="54" spans="1:8" ht="15" customHeight="1" x14ac:dyDescent="0.25">
      <c r="A54" s="24" t="s">
        <v>180</v>
      </c>
      <c r="C54"/>
      <c r="D54"/>
      <c r="E54"/>
      <c r="F54"/>
      <c r="G54"/>
      <c r="H54"/>
    </row>
    <row r="55" spans="1:8" ht="15" customHeight="1" x14ac:dyDescent="0.25">
      <c r="A55" s="24" t="s">
        <v>181</v>
      </c>
      <c r="C55"/>
      <c r="D55"/>
      <c r="E55"/>
      <c r="F55"/>
      <c r="G55"/>
      <c r="H55"/>
    </row>
    <row r="56" spans="1:8" ht="15" customHeight="1" x14ac:dyDescent="0.25">
      <c r="A56" s="24" t="s">
        <v>182</v>
      </c>
      <c r="C56"/>
      <c r="D56"/>
      <c r="E56"/>
      <c r="F56"/>
      <c r="G56"/>
      <c r="H56"/>
    </row>
    <row r="57" spans="1:8" ht="15" customHeight="1" x14ac:dyDescent="0.25">
      <c r="A57" s="24" t="s">
        <v>176</v>
      </c>
      <c r="C57"/>
      <c r="D57"/>
      <c r="E57"/>
      <c r="F57"/>
      <c r="G57"/>
      <c r="H57"/>
    </row>
    <row r="58" spans="1:8" ht="15" customHeight="1" x14ac:dyDescent="0.25">
      <c r="A58" s="24" t="s">
        <v>177</v>
      </c>
      <c r="C58"/>
      <c r="D58"/>
      <c r="E58"/>
      <c r="F58"/>
      <c r="G58"/>
      <c r="H58"/>
    </row>
    <row r="59" spans="1:8" ht="15" customHeight="1" x14ac:dyDescent="0.25">
      <c r="A59" s="24" t="s">
        <v>183</v>
      </c>
      <c r="C59"/>
      <c r="D59"/>
      <c r="E59"/>
      <c r="F59"/>
      <c r="G59"/>
      <c r="H59"/>
    </row>
    <row r="60" spans="1:8" ht="15" customHeight="1" x14ac:dyDescent="0.25">
      <c r="C60"/>
      <c r="D60"/>
      <c r="E60"/>
      <c r="F60"/>
      <c r="G60"/>
      <c r="H60"/>
    </row>
    <row r="61" spans="1:8" ht="15" customHeight="1" x14ac:dyDescent="0.25">
      <c r="C61"/>
      <c r="D61"/>
      <c r="E61"/>
      <c r="F61"/>
      <c r="G61"/>
      <c r="H61"/>
    </row>
    <row r="69" spans="1:8" ht="15" customHeight="1" x14ac:dyDescent="0.25">
      <c r="C69"/>
      <c r="D69"/>
      <c r="E69"/>
      <c r="F69"/>
      <c r="G69"/>
      <c r="H69"/>
    </row>
    <row r="70" spans="1:8" ht="15" customHeight="1" x14ac:dyDescent="0.25">
      <c r="C70"/>
      <c r="D70"/>
      <c r="E70"/>
      <c r="F70"/>
      <c r="G70"/>
      <c r="H70"/>
    </row>
    <row r="71" spans="1:8" ht="15" customHeight="1" x14ac:dyDescent="0.25">
      <c r="C71"/>
      <c r="D71"/>
      <c r="E71"/>
      <c r="F71"/>
      <c r="G71"/>
      <c r="H71"/>
    </row>
    <row r="72" spans="1:8" ht="15" customHeight="1" x14ac:dyDescent="0.25">
      <c r="A72" s="24" t="s">
        <v>113</v>
      </c>
      <c r="C72"/>
      <c r="D72"/>
      <c r="E72"/>
      <c r="F72"/>
      <c r="G72"/>
      <c r="H72"/>
    </row>
    <row r="73" spans="1:8" ht="15" customHeight="1" x14ac:dyDescent="0.25">
      <c r="A73" s="24" t="s">
        <v>184</v>
      </c>
      <c r="C73"/>
      <c r="D73"/>
      <c r="E73"/>
      <c r="F73"/>
      <c r="G73"/>
      <c r="H73"/>
    </row>
    <row r="74" spans="1:8" ht="15" customHeight="1" x14ac:dyDescent="0.25">
      <c r="A74" s="24" t="s">
        <v>185</v>
      </c>
      <c r="C74"/>
      <c r="D74"/>
      <c r="E74"/>
      <c r="F74"/>
      <c r="G74"/>
      <c r="H74"/>
    </row>
    <row r="75" spans="1:8" ht="15" customHeight="1" x14ac:dyDescent="0.25">
      <c r="A75" s="24" t="s">
        <v>186</v>
      </c>
      <c r="C75"/>
      <c r="D75"/>
      <c r="E75"/>
      <c r="F75"/>
      <c r="G75"/>
      <c r="H75"/>
    </row>
    <row r="76" spans="1:8" ht="15" customHeight="1" x14ac:dyDescent="0.25">
      <c r="A76" s="24" t="s">
        <v>112</v>
      </c>
      <c r="C76"/>
      <c r="D76"/>
      <c r="E76"/>
      <c r="F76"/>
      <c r="G76"/>
      <c r="H76"/>
    </row>
  </sheetData>
  <hyperlinks>
    <hyperlink ref="A75" r:id="rId1" tooltip="Select to learn about creating an array formula from the web"/>
    <hyperlink ref="A74" r:id="rId2" tooltip="Select to learn all about the TRANSPOSE function from the web"/>
    <hyperlink ref="A73" r:id="rId3" tooltip="Select to learn about Transpose (rotate) data from rows to columns or vice versa from the web"/>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63"/>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5.140625" style="1" customWidth="1"/>
    <col min="4" max="4" width="12.5703125" style="1" customWidth="1"/>
    <col min="5" max="5" width="8.28515625" style="1" customWidth="1"/>
    <col min="6" max="6" width="9.28515625" style="1" customWidth="1"/>
    <col min="7" max="7" width="10.85546875" style="1" customWidth="1"/>
    <col min="8" max="16384" width="8.85546875" style="1"/>
  </cols>
  <sheetData>
    <row r="1" spans="1:7" ht="60" customHeight="1" x14ac:dyDescent="0.25">
      <c r="A1" s="24" t="s">
        <v>131</v>
      </c>
      <c r="C1"/>
      <c r="D1"/>
      <c r="E1"/>
      <c r="F1"/>
      <c r="G1"/>
    </row>
    <row r="2" spans="1:7" ht="15" customHeight="1" x14ac:dyDescent="0.25">
      <c r="A2" s="24" t="s">
        <v>307</v>
      </c>
    </row>
    <row r="3" spans="1:7" ht="15" customHeight="1" x14ac:dyDescent="0.25">
      <c r="A3" s="24" t="s">
        <v>301</v>
      </c>
      <c r="C3"/>
      <c r="D3"/>
      <c r="E3"/>
      <c r="F3"/>
      <c r="G3"/>
    </row>
    <row r="4" spans="1:7" ht="15" customHeight="1" x14ac:dyDescent="0.25">
      <c r="A4" s="24" t="s">
        <v>302</v>
      </c>
      <c r="C4"/>
      <c r="D4"/>
      <c r="E4"/>
      <c r="F4"/>
      <c r="G4"/>
    </row>
    <row r="5" spans="1:7" s="4" customFormat="1" ht="15" customHeight="1" x14ac:dyDescent="0.25">
      <c r="A5" s="24" t="s">
        <v>303</v>
      </c>
      <c r="B5" s="17"/>
      <c r="C5" s="40" t="s">
        <v>46</v>
      </c>
      <c r="D5" s="40" t="s">
        <v>26</v>
      </c>
      <c r="E5" s="40" t="s">
        <v>47</v>
      </c>
      <c r="F5" s="40" t="s">
        <v>48</v>
      </c>
      <c r="G5" s="40" t="s">
        <v>49</v>
      </c>
    </row>
    <row r="6" spans="1:7" s="4" customFormat="1" ht="15" customHeight="1" x14ac:dyDescent="0.25">
      <c r="A6" s="24" t="s">
        <v>304</v>
      </c>
      <c r="B6" s="17"/>
      <c r="C6" s="7" t="s">
        <v>6</v>
      </c>
      <c r="D6" s="7" t="s">
        <v>7</v>
      </c>
      <c r="E6" s="65">
        <v>90000</v>
      </c>
      <c r="F6" s="65">
        <v>110000</v>
      </c>
      <c r="G6" s="65">
        <v>120000</v>
      </c>
    </row>
    <row r="7" spans="1:7" s="4" customFormat="1" ht="15" customHeight="1" x14ac:dyDescent="0.25">
      <c r="A7" s="24" t="s">
        <v>305</v>
      </c>
      <c r="B7" s="17"/>
      <c r="C7" s="17" t="s">
        <v>45</v>
      </c>
      <c r="D7" s="17" t="s">
        <v>52</v>
      </c>
      <c r="E7" s="50">
        <v>25000</v>
      </c>
      <c r="F7" s="50">
        <v>80000</v>
      </c>
      <c r="G7" s="50">
        <v>120000</v>
      </c>
    </row>
    <row r="8" spans="1:7" s="4" customFormat="1" ht="15" customHeight="1" x14ac:dyDescent="0.25">
      <c r="A8" s="24" t="s">
        <v>118</v>
      </c>
      <c r="B8" s="17"/>
      <c r="C8" s="7" t="s">
        <v>28</v>
      </c>
      <c r="D8" s="7" t="s">
        <v>0</v>
      </c>
      <c r="E8" s="65">
        <v>10000</v>
      </c>
      <c r="F8" s="65">
        <v>30000</v>
      </c>
      <c r="G8" s="65">
        <v>40000</v>
      </c>
    </row>
    <row r="9" spans="1:7" s="4" customFormat="1" ht="15" customHeight="1" x14ac:dyDescent="0.25">
      <c r="A9" s="24"/>
      <c r="B9" s="17"/>
      <c r="C9" s="17" t="s">
        <v>28</v>
      </c>
      <c r="D9" s="17" t="s">
        <v>50</v>
      </c>
      <c r="E9" s="50">
        <v>30000</v>
      </c>
      <c r="F9" s="50">
        <v>80000</v>
      </c>
      <c r="G9" s="50">
        <v>30000</v>
      </c>
    </row>
    <row r="10" spans="1:7" s="4" customFormat="1" ht="15" customHeight="1" x14ac:dyDescent="0.25">
      <c r="A10" s="24"/>
      <c r="B10" s="17"/>
      <c r="C10" s="7" t="s">
        <v>53</v>
      </c>
      <c r="D10" s="7" t="s">
        <v>54</v>
      </c>
      <c r="E10" s="65">
        <v>90000</v>
      </c>
      <c r="F10" s="65">
        <v>35000</v>
      </c>
      <c r="G10" s="65">
        <v>25000</v>
      </c>
    </row>
    <row r="11" spans="1:7" s="4" customFormat="1" ht="15" customHeight="1" x14ac:dyDescent="0.25">
      <c r="A11" s="24"/>
      <c r="B11" s="17"/>
      <c r="C11" s="17" t="s">
        <v>6</v>
      </c>
      <c r="D11" s="17" t="s">
        <v>8</v>
      </c>
      <c r="E11" s="50">
        <v>75000</v>
      </c>
      <c r="F11" s="50">
        <v>82000</v>
      </c>
      <c r="G11" s="50">
        <v>2000000</v>
      </c>
    </row>
    <row r="12" spans="1:7" s="4" customFormat="1" ht="15" customHeight="1" x14ac:dyDescent="0.25">
      <c r="A12" s="24"/>
      <c r="B12" s="17"/>
      <c r="C12" s="6" t="s">
        <v>45</v>
      </c>
      <c r="D12" s="6" t="s">
        <v>51</v>
      </c>
      <c r="E12" s="41">
        <v>30000</v>
      </c>
      <c r="F12" s="41">
        <v>15000</v>
      </c>
      <c r="G12" s="41">
        <v>20000</v>
      </c>
    </row>
    <row r="13" spans="1:7" s="4" customFormat="1" ht="15" customHeight="1" x14ac:dyDescent="0.25">
      <c r="A13" s="24"/>
      <c r="B13" s="17"/>
      <c r="C13" s="17" t="s">
        <v>53</v>
      </c>
      <c r="D13" s="17" t="s">
        <v>64</v>
      </c>
      <c r="E13" s="50">
        <v>80000</v>
      </c>
      <c r="F13" s="50">
        <v>40000</v>
      </c>
      <c r="G13" s="50">
        <v>20000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187</v>
      </c>
      <c r="C27"/>
      <c r="D27"/>
      <c r="E27"/>
      <c r="F27"/>
      <c r="G27"/>
    </row>
    <row r="28" spans="1:7" ht="15" customHeight="1" x14ac:dyDescent="0.25">
      <c r="A28" s="24" t="s">
        <v>308</v>
      </c>
      <c r="C28"/>
      <c r="D28"/>
      <c r="E28"/>
      <c r="F28"/>
      <c r="G28"/>
    </row>
    <row r="29" spans="1:7" ht="15" customHeight="1" x14ac:dyDescent="0.25">
      <c r="A29" s="24" t="s">
        <v>306</v>
      </c>
      <c r="C29"/>
      <c r="D29"/>
      <c r="E29"/>
      <c r="F29"/>
      <c r="G29"/>
    </row>
    <row r="30" spans="1:7" ht="15" customHeight="1" x14ac:dyDescent="0.25">
      <c r="A30" s="24" t="s">
        <v>309</v>
      </c>
      <c r="C30"/>
      <c r="D30"/>
      <c r="E30"/>
      <c r="F30"/>
      <c r="G30"/>
    </row>
    <row r="31" spans="1:7" ht="15" customHeight="1" x14ac:dyDescent="0.25">
      <c r="A31" s="24" t="s">
        <v>365</v>
      </c>
      <c r="C31" t="s">
        <v>67</v>
      </c>
      <c r="D31" t="s">
        <v>68</v>
      </c>
      <c r="E31" t="s">
        <v>57</v>
      </c>
      <c r="F31" t="s">
        <v>69</v>
      </c>
      <c r="G31"/>
    </row>
    <row r="32" spans="1:7" ht="15" customHeight="1" x14ac:dyDescent="0.25">
      <c r="A32" s="24" t="s">
        <v>189</v>
      </c>
      <c r="C32" s="55">
        <f ca="1">TODAY()-2</f>
        <v>45079</v>
      </c>
      <c r="D32" s="47" t="s">
        <v>70</v>
      </c>
      <c r="E32" s="48">
        <v>21</v>
      </c>
      <c r="F32" s="49">
        <v>3820</v>
      </c>
      <c r="G32"/>
    </row>
    <row r="33" spans="1:7" ht="15" customHeight="1" x14ac:dyDescent="0.25">
      <c r="A33" s="24" t="s">
        <v>190</v>
      </c>
      <c r="C33" s="55">
        <f ca="1">TODAY()-3</f>
        <v>45078</v>
      </c>
      <c r="D33" s="47" t="s">
        <v>71</v>
      </c>
      <c r="E33" s="48">
        <v>62</v>
      </c>
      <c r="F33" s="48">
        <v>2112</v>
      </c>
      <c r="G33"/>
    </row>
    <row r="34" spans="1:7" ht="15" customHeight="1" x14ac:dyDescent="0.25">
      <c r="C34" s="55">
        <f ca="1">TODAY()-6</f>
        <v>45075</v>
      </c>
      <c r="D34" s="47" t="s">
        <v>73</v>
      </c>
      <c r="E34" s="48">
        <v>25</v>
      </c>
      <c r="F34" s="48">
        <v>1611</v>
      </c>
      <c r="G34"/>
    </row>
    <row r="35" spans="1:7" ht="15" customHeight="1" x14ac:dyDescent="0.25">
      <c r="C35" s="55">
        <f ca="1">TODAY()</f>
        <v>45081</v>
      </c>
      <c r="D35" s="47" t="s">
        <v>72</v>
      </c>
      <c r="E35" s="48">
        <v>30</v>
      </c>
      <c r="F35" s="49">
        <v>3085</v>
      </c>
      <c r="G35"/>
    </row>
    <row r="36" spans="1:7" ht="15" customHeight="1" x14ac:dyDescent="0.25">
      <c r="C36" s="55">
        <f ca="1">TODAY()-4</f>
        <v>45077</v>
      </c>
      <c r="D36" s="47" t="s">
        <v>75</v>
      </c>
      <c r="E36" s="48">
        <v>69</v>
      </c>
      <c r="F36" s="48">
        <v>528</v>
      </c>
      <c r="G36"/>
    </row>
    <row r="37" spans="1:7" ht="15" customHeight="1" x14ac:dyDescent="0.25">
      <c r="C37" s="55">
        <f ca="1">TODAY()-5</f>
        <v>45076</v>
      </c>
      <c r="D37" s="47" t="s">
        <v>74</v>
      </c>
      <c r="E37" s="48">
        <v>45</v>
      </c>
      <c r="F37" s="49">
        <v>5050</v>
      </c>
      <c r="G37"/>
    </row>
    <row r="38" spans="1:7" ht="15" customHeight="1" x14ac:dyDescent="0.25">
      <c r="C38"/>
      <c r="D38"/>
      <c r="E38"/>
      <c r="F38"/>
      <c r="G38"/>
    </row>
    <row r="39" spans="1:7" ht="15" customHeight="1" x14ac:dyDescent="0.25">
      <c r="C39"/>
      <c r="D39"/>
      <c r="E39"/>
      <c r="F39"/>
      <c r="G39"/>
    </row>
    <row r="40" spans="1:7" ht="15" customHeight="1" x14ac:dyDescent="0.25">
      <c r="C40"/>
      <c r="D40"/>
      <c r="E40"/>
      <c r="F40"/>
      <c r="G40"/>
    </row>
    <row r="41" spans="1:7" ht="15" customHeight="1" x14ac:dyDescent="0.25">
      <c r="C41"/>
      <c r="D41"/>
      <c r="E41"/>
      <c r="F41"/>
      <c r="G41"/>
    </row>
    <row r="42" spans="1:7" ht="15" customHeight="1" x14ac:dyDescent="0.25">
      <c r="C42"/>
      <c r="D42"/>
      <c r="E42"/>
      <c r="F42"/>
      <c r="G42"/>
    </row>
    <row r="43" spans="1:7" ht="15" customHeight="1" x14ac:dyDescent="0.25">
      <c r="A43" s="24" t="s">
        <v>188</v>
      </c>
      <c r="C43"/>
      <c r="D43"/>
      <c r="E43"/>
      <c r="F43"/>
      <c r="G43"/>
    </row>
    <row r="44" spans="1:7" ht="15" customHeight="1" x14ac:dyDescent="0.25">
      <c r="A44" s="24" t="s">
        <v>310</v>
      </c>
      <c r="C44"/>
      <c r="D44"/>
      <c r="E44"/>
      <c r="F44"/>
      <c r="G44"/>
    </row>
    <row r="45" spans="1:7" ht="15" customHeight="1" x14ac:dyDescent="0.25">
      <c r="A45" s="24" t="s">
        <v>336</v>
      </c>
      <c r="C45"/>
      <c r="D45"/>
      <c r="E45"/>
      <c r="F45"/>
      <c r="G45"/>
    </row>
    <row r="46" spans="1:7" ht="15" customHeight="1" x14ac:dyDescent="0.25">
      <c r="A46" s="24" t="s">
        <v>337</v>
      </c>
      <c r="C46"/>
      <c r="D46"/>
      <c r="E46"/>
      <c r="F46"/>
      <c r="G46"/>
    </row>
    <row r="47" spans="1:7" ht="15" customHeight="1" x14ac:dyDescent="0.25">
      <c r="A47" s="24" t="s">
        <v>207</v>
      </c>
      <c r="C47"/>
      <c r="D47"/>
      <c r="E47"/>
      <c r="F47"/>
      <c r="G47"/>
    </row>
    <row r="48" spans="1:7" ht="15" customHeight="1" x14ac:dyDescent="0.25">
      <c r="C48"/>
      <c r="D48"/>
      <c r="E48"/>
      <c r="F48"/>
      <c r="G48"/>
    </row>
    <row r="49" spans="1:7" ht="15" customHeight="1" x14ac:dyDescent="0.25">
      <c r="C49" t="s">
        <v>67</v>
      </c>
      <c r="D49" t="s">
        <v>68</v>
      </c>
      <c r="E49" t="s">
        <v>57</v>
      </c>
      <c r="F49" t="s">
        <v>69</v>
      </c>
      <c r="G49"/>
    </row>
    <row r="50" spans="1:7" ht="15" customHeight="1" x14ac:dyDescent="0.25">
      <c r="C50" s="55">
        <f ca="1">TODAY()-2</f>
        <v>45079</v>
      </c>
      <c r="D50" s="47" t="s">
        <v>70</v>
      </c>
      <c r="E50" s="48">
        <v>21</v>
      </c>
      <c r="F50" s="48">
        <v>3820</v>
      </c>
      <c r="G50"/>
    </row>
    <row r="51" spans="1:7" ht="15" customHeight="1" x14ac:dyDescent="0.25">
      <c r="C51" s="55">
        <f ca="1">TODAY()-3</f>
        <v>45078</v>
      </c>
      <c r="D51" s="47" t="s">
        <v>71</v>
      </c>
      <c r="E51" s="48">
        <v>62</v>
      </c>
      <c r="F51" s="48">
        <v>2112</v>
      </c>
      <c r="G51"/>
    </row>
    <row r="52" spans="1:7" ht="15" customHeight="1" x14ac:dyDescent="0.25">
      <c r="C52" s="55">
        <f ca="1">TODAY()</f>
        <v>45081</v>
      </c>
      <c r="D52" s="47" t="s">
        <v>72</v>
      </c>
      <c r="E52" s="48">
        <v>30</v>
      </c>
      <c r="F52" s="48">
        <v>3085</v>
      </c>
      <c r="G52"/>
    </row>
    <row r="53" spans="1:7" ht="15" customHeight="1" x14ac:dyDescent="0.25">
      <c r="C53" s="55">
        <f ca="1">TODAY()-6</f>
        <v>45075</v>
      </c>
      <c r="D53" s="47" t="s">
        <v>73</v>
      </c>
      <c r="E53" s="48">
        <v>25</v>
      </c>
      <c r="F53" s="48">
        <v>1611</v>
      </c>
      <c r="G53"/>
    </row>
    <row r="54" spans="1:7" ht="15" customHeight="1" x14ac:dyDescent="0.25">
      <c r="C54" s="55">
        <f ca="1">TODAY()-5</f>
        <v>45076</v>
      </c>
      <c r="D54" s="47" t="s">
        <v>74</v>
      </c>
      <c r="E54" s="48">
        <v>45</v>
      </c>
      <c r="F54" s="48">
        <v>5050</v>
      </c>
      <c r="G54"/>
    </row>
    <row r="55" spans="1:7" ht="15" customHeight="1" x14ac:dyDescent="0.25">
      <c r="C55" s="55">
        <f ca="1">TODAY()-4</f>
        <v>45077</v>
      </c>
      <c r="D55" s="47" t="s">
        <v>75</v>
      </c>
      <c r="E55" s="48">
        <v>69</v>
      </c>
      <c r="F55" s="48">
        <v>528</v>
      </c>
      <c r="G55"/>
    </row>
    <row r="56" spans="1:7" ht="15" customHeight="1" x14ac:dyDescent="0.25">
      <c r="G56"/>
    </row>
    <row r="57" spans="1:7" ht="15" customHeight="1" x14ac:dyDescent="0.25">
      <c r="G57"/>
    </row>
    <row r="58" spans="1:7" ht="15" customHeight="1" x14ac:dyDescent="0.25">
      <c r="G58"/>
    </row>
    <row r="59" spans="1:7" ht="15" customHeight="1" x14ac:dyDescent="0.25">
      <c r="G59"/>
    </row>
    <row r="60" spans="1:7" ht="15" customHeight="1" x14ac:dyDescent="0.25">
      <c r="A60" s="24" t="s">
        <v>113</v>
      </c>
      <c r="C60"/>
      <c r="D60"/>
      <c r="E60"/>
      <c r="F60"/>
      <c r="G60"/>
    </row>
    <row r="61" spans="1:7" ht="15" customHeight="1" x14ac:dyDescent="0.25">
      <c r="A61" s="24" t="s">
        <v>191</v>
      </c>
      <c r="C61"/>
      <c r="D61"/>
      <c r="E61"/>
      <c r="F61"/>
      <c r="G61"/>
    </row>
    <row r="62" spans="1:7" ht="15" customHeight="1" x14ac:dyDescent="0.25">
      <c r="A62" s="24" t="s">
        <v>192</v>
      </c>
      <c r="C62"/>
      <c r="D62"/>
      <c r="E62"/>
      <c r="F62"/>
      <c r="G62"/>
    </row>
    <row r="63" spans="1:7" ht="15" customHeight="1" x14ac:dyDescent="0.25">
      <c r="A63" s="24" t="s">
        <v>112</v>
      </c>
      <c r="C63"/>
      <c r="D63"/>
      <c r="E63"/>
      <c r="F63"/>
      <c r="G63"/>
    </row>
  </sheetData>
  <sortState ref="C6:G13">
    <sortCondition ref="G5"/>
  </sortState>
  <hyperlinks>
    <hyperlink ref="A62" r:id="rId1" tooltip="Select to learn about filtering data in a range or table from the web"/>
    <hyperlink ref="A61" r:id="rId2" tooltip="Select to learn about sorting data in a range or table from the web"/>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7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 customWidth="1"/>
    <col min="3" max="3" width="13.85546875" style="1" customWidth="1"/>
    <col min="4" max="4" width="11" style="1" customWidth="1"/>
    <col min="5" max="8" width="9.28515625" style="1" customWidth="1"/>
    <col min="9" max="16384" width="8.85546875" style="1"/>
  </cols>
  <sheetData>
    <row r="1" spans="1:8" ht="60" customHeight="1" x14ac:dyDescent="0.65">
      <c r="A1" s="24" t="s">
        <v>132</v>
      </c>
      <c r="B1" s="2"/>
      <c r="C1"/>
      <c r="D1"/>
      <c r="E1"/>
      <c r="F1"/>
      <c r="G1"/>
      <c r="H1"/>
    </row>
    <row r="2" spans="1:8" ht="15" customHeight="1" x14ac:dyDescent="0.25">
      <c r="A2" s="24" t="s">
        <v>193</v>
      </c>
      <c r="C2"/>
      <c r="D2"/>
      <c r="E2"/>
      <c r="F2"/>
      <c r="G2"/>
      <c r="H2"/>
    </row>
    <row r="3" spans="1:8" ht="15" customHeight="1" x14ac:dyDescent="0.3">
      <c r="A3" s="24" t="s">
        <v>235</v>
      </c>
      <c r="B3" s="3"/>
      <c r="C3"/>
      <c r="D3"/>
      <c r="E3"/>
      <c r="F3"/>
      <c r="G3"/>
      <c r="H3"/>
    </row>
    <row r="4" spans="1:8" ht="15" customHeight="1" x14ac:dyDescent="0.25">
      <c r="A4" s="24" t="s">
        <v>311</v>
      </c>
      <c r="C4"/>
      <c r="D4"/>
      <c r="E4"/>
      <c r="F4"/>
      <c r="G4"/>
      <c r="H4"/>
    </row>
    <row r="5" spans="1:8" s="4" customFormat="1" ht="15" customHeight="1" x14ac:dyDescent="0.25">
      <c r="A5" s="24" t="s">
        <v>194</v>
      </c>
      <c r="C5" t="s">
        <v>46</v>
      </c>
      <c r="D5" t="s">
        <v>26</v>
      </c>
      <c r="E5" t="s">
        <v>47</v>
      </c>
      <c r="F5" t="s">
        <v>48</v>
      </c>
      <c r="G5" t="s">
        <v>49</v>
      </c>
      <c r="H5"/>
    </row>
    <row r="6" spans="1:8" s="4" customFormat="1" ht="15" customHeight="1" x14ac:dyDescent="0.3">
      <c r="A6" s="24" t="s">
        <v>312</v>
      </c>
      <c r="B6" s="5"/>
      <c r="C6" t="s">
        <v>28</v>
      </c>
      <c r="D6" t="s">
        <v>50</v>
      </c>
      <c r="E6">
        <v>30000</v>
      </c>
      <c r="F6">
        <v>80000</v>
      </c>
      <c r="G6">
        <v>30000</v>
      </c>
      <c r="H6"/>
    </row>
    <row r="7" spans="1:8" s="4" customFormat="1" ht="15" customHeight="1" x14ac:dyDescent="0.25">
      <c r="A7" s="24" t="s">
        <v>338</v>
      </c>
      <c r="C7" t="s">
        <v>28</v>
      </c>
      <c r="D7" t="s">
        <v>0</v>
      </c>
      <c r="E7">
        <v>10000</v>
      </c>
      <c r="F7">
        <v>30000</v>
      </c>
      <c r="G7">
        <v>40000</v>
      </c>
      <c r="H7"/>
    </row>
    <row r="8" spans="1:8" s="4" customFormat="1" ht="15" customHeight="1" x14ac:dyDescent="0.25">
      <c r="A8" s="24" t="s">
        <v>236</v>
      </c>
      <c r="C8" t="s">
        <v>45</v>
      </c>
      <c r="D8" t="s">
        <v>51</v>
      </c>
      <c r="E8">
        <v>30000</v>
      </c>
      <c r="F8">
        <v>15000</v>
      </c>
      <c r="G8">
        <v>20000</v>
      </c>
      <c r="H8"/>
    </row>
    <row r="9" spans="1:8" s="4" customFormat="1" ht="15" customHeight="1" x14ac:dyDescent="0.25">
      <c r="A9" s="63" t="s">
        <v>339</v>
      </c>
      <c r="C9" t="s">
        <v>45</v>
      </c>
      <c r="D9" t="s">
        <v>52</v>
      </c>
      <c r="E9">
        <v>25000</v>
      </c>
      <c r="F9">
        <v>80000</v>
      </c>
      <c r="G9">
        <v>120000</v>
      </c>
      <c r="H9"/>
    </row>
    <row r="10" spans="1:8" s="4" customFormat="1" ht="15" customHeight="1" x14ac:dyDescent="0.25">
      <c r="A10" s="24" t="s">
        <v>118</v>
      </c>
      <c r="C10" t="s">
        <v>53</v>
      </c>
      <c r="D10" t="s">
        <v>65</v>
      </c>
      <c r="E10">
        <v>80000</v>
      </c>
      <c r="F10">
        <v>40000</v>
      </c>
      <c r="G10">
        <v>20000</v>
      </c>
      <c r="H10"/>
    </row>
    <row r="11" spans="1:8" s="4" customFormat="1" ht="15" customHeight="1" x14ac:dyDescent="0.25">
      <c r="A11" s="24"/>
      <c r="C11" t="s">
        <v>53</v>
      </c>
      <c r="D11" t="s">
        <v>54</v>
      </c>
      <c r="E11">
        <v>90000</v>
      </c>
      <c r="F11">
        <v>35000</v>
      </c>
      <c r="G11">
        <v>25000</v>
      </c>
      <c r="H11"/>
    </row>
    <row r="12" spans="1:8" s="4" customFormat="1" ht="15" customHeight="1" x14ac:dyDescent="0.25">
      <c r="A12" s="24"/>
      <c r="C12" t="s">
        <v>6</v>
      </c>
      <c r="D12" t="s">
        <v>7</v>
      </c>
      <c r="E12">
        <v>90000</v>
      </c>
      <c r="F12">
        <v>110000</v>
      </c>
      <c r="G12">
        <v>200000</v>
      </c>
      <c r="H12"/>
    </row>
    <row r="13" spans="1:8" s="4" customFormat="1" ht="15" customHeight="1" x14ac:dyDescent="0.25">
      <c r="A13" s="24"/>
      <c r="C13" t="s">
        <v>6</v>
      </c>
      <c r="D13" t="s">
        <v>8</v>
      </c>
      <c r="E13">
        <v>75000</v>
      </c>
      <c r="F13">
        <v>82000</v>
      </c>
      <c r="G13">
        <v>150000</v>
      </c>
      <c r="H13"/>
    </row>
    <row r="14" spans="1:8" s="4" customFormat="1" ht="15" customHeight="1" x14ac:dyDescent="0.25">
      <c r="A14" s="24"/>
      <c r="C14"/>
      <c r="D14"/>
      <c r="E14"/>
      <c r="F14"/>
      <c r="G14"/>
      <c r="H14"/>
    </row>
    <row r="15" spans="1:8" s="4" customFormat="1" ht="15" customHeight="1" x14ac:dyDescent="0.25">
      <c r="A15" s="24"/>
      <c r="C15"/>
      <c r="D15"/>
      <c r="E15"/>
      <c r="F15"/>
      <c r="G15"/>
      <c r="H15"/>
    </row>
    <row r="16" spans="1:8" s="4" customFormat="1" ht="15" customHeight="1" x14ac:dyDescent="0.25">
      <c r="A16" s="24"/>
      <c r="C16"/>
      <c r="D16"/>
      <c r="E16"/>
      <c r="F16"/>
      <c r="G16"/>
      <c r="H16"/>
    </row>
    <row r="17" spans="1:8" s="4" customFormat="1" ht="15" customHeight="1" x14ac:dyDescent="0.25">
      <c r="A17" s="24"/>
      <c r="C17"/>
      <c r="D17"/>
      <c r="E17"/>
      <c r="F17"/>
      <c r="G17"/>
      <c r="H17"/>
    </row>
    <row r="18" spans="1:8" s="4" customFormat="1" ht="15" customHeight="1" x14ac:dyDescent="0.25">
      <c r="A18" s="24"/>
      <c r="C18"/>
      <c r="D18"/>
      <c r="E18"/>
      <c r="F18"/>
      <c r="G18"/>
      <c r="H18"/>
    </row>
    <row r="19" spans="1:8" s="4" customFormat="1" ht="15" customHeight="1" x14ac:dyDescent="0.25">
      <c r="A19" s="24"/>
      <c r="C19"/>
      <c r="D19"/>
      <c r="E19"/>
      <c r="F19"/>
      <c r="G19"/>
      <c r="H19"/>
    </row>
    <row r="20" spans="1:8" s="4" customFormat="1" ht="15" customHeight="1" x14ac:dyDescent="0.25">
      <c r="A20" s="24"/>
      <c r="C20"/>
      <c r="D20"/>
      <c r="E20"/>
      <c r="F20"/>
      <c r="G20"/>
      <c r="H20"/>
    </row>
    <row r="21" spans="1:8" s="4" customFormat="1" ht="15" customHeight="1" x14ac:dyDescent="0.25">
      <c r="A21" s="24"/>
      <c r="C21"/>
      <c r="D21"/>
      <c r="E21"/>
      <c r="F21"/>
      <c r="G21"/>
      <c r="H21"/>
    </row>
    <row r="22" spans="1:8" s="4" customFormat="1" ht="15" customHeight="1" x14ac:dyDescent="0.25">
      <c r="A22" s="24"/>
    </row>
    <row r="23" spans="1:8" s="4" customFormat="1" ht="15" customHeight="1" x14ac:dyDescent="0.25">
      <c r="A23" s="24"/>
    </row>
    <row r="24" spans="1:8" s="4" customFormat="1" ht="15" customHeight="1" x14ac:dyDescent="0.25">
      <c r="A24" s="24"/>
    </row>
    <row r="27" spans="1:8" ht="15" customHeight="1" x14ac:dyDescent="0.25">
      <c r="A27" s="24" t="s">
        <v>195</v>
      </c>
      <c r="C27"/>
      <c r="D27"/>
      <c r="E27"/>
      <c r="F27"/>
      <c r="G27"/>
      <c r="H27"/>
    </row>
    <row r="28" spans="1:8" ht="15" customHeight="1" x14ac:dyDescent="0.25">
      <c r="A28" s="24" t="s">
        <v>196</v>
      </c>
      <c r="C28"/>
      <c r="D28"/>
      <c r="E28"/>
      <c r="F28"/>
      <c r="G28"/>
      <c r="H28"/>
    </row>
    <row r="29" spans="1:8" ht="15" customHeight="1" x14ac:dyDescent="0.25">
      <c r="A29" s="24" t="s">
        <v>313</v>
      </c>
      <c r="C29"/>
      <c r="D29"/>
      <c r="E29"/>
      <c r="F29"/>
      <c r="G29"/>
      <c r="H29"/>
    </row>
    <row r="30" spans="1:8" ht="15" customHeight="1" x14ac:dyDescent="0.25">
      <c r="A30" s="24" t="s">
        <v>237</v>
      </c>
      <c r="C30"/>
      <c r="D30"/>
      <c r="E30"/>
      <c r="F30"/>
      <c r="G30"/>
      <c r="H30"/>
    </row>
    <row r="31" spans="1:8" ht="15" customHeight="1" x14ac:dyDescent="0.25">
      <c r="A31" s="24" t="s">
        <v>314</v>
      </c>
      <c r="H31"/>
    </row>
    <row r="32" spans="1:8" ht="15" customHeight="1" x14ac:dyDescent="0.25">
      <c r="A32" s="24" t="s">
        <v>238</v>
      </c>
      <c r="H32"/>
    </row>
    <row r="33" spans="1:8" ht="15" customHeight="1" x14ac:dyDescent="0.25">
      <c r="A33" s="24" t="s">
        <v>197</v>
      </c>
      <c r="C33" s="40" t="s">
        <v>46</v>
      </c>
      <c r="D33" s="40" t="s">
        <v>26</v>
      </c>
      <c r="E33" s="40" t="s">
        <v>47</v>
      </c>
      <c r="F33" s="40" t="s">
        <v>48</v>
      </c>
      <c r="G33" s="40" t="s">
        <v>49</v>
      </c>
      <c r="H33" s="40" t="s">
        <v>55</v>
      </c>
    </row>
    <row r="34" spans="1:8" ht="15" customHeight="1" x14ac:dyDescent="0.25">
      <c r="C34" s="6" t="s">
        <v>28</v>
      </c>
      <c r="D34" s="6" t="s">
        <v>50</v>
      </c>
      <c r="E34" s="41">
        <v>30000</v>
      </c>
      <c r="F34" s="41">
        <v>80000</v>
      </c>
      <c r="G34" s="41">
        <v>30000</v>
      </c>
      <c r="H34" s="50"/>
    </row>
    <row r="35" spans="1:8" ht="15" customHeight="1" x14ac:dyDescent="0.25">
      <c r="C35" t="s">
        <v>28</v>
      </c>
      <c r="D35" t="s">
        <v>0</v>
      </c>
      <c r="E35" s="50">
        <v>10000</v>
      </c>
      <c r="F35" s="50">
        <v>30000</v>
      </c>
      <c r="G35" s="50">
        <v>40000</v>
      </c>
      <c r="H35" s="50"/>
    </row>
    <row r="36" spans="1:8" ht="15" customHeight="1" x14ac:dyDescent="0.25">
      <c r="C36" s="6" t="s">
        <v>45</v>
      </c>
      <c r="D36" s="6" t="s">
        <v>51</v>
      </c>
      <c r="E36" s="41">
        <v>30000</v>
      </c>
      <c r="F36" s="41">
        <v>15000</v>
      </c>
      <c r="G36" s="41">
        <v>20000</v>
      </c>
      <c r="H36" s="50"/>
    </row>
    <row r="37" spans="1:8" ht="15" customHeight="1" x14ac:dyDescent="0.25">
      <c r="C37" t="s">
        <v>45</v>
      </c>
      <c r="D37" t="s">
        <v>52</v>
      </c>
      <c r="E37" s="50">
        <v>25000</v>
      </c>
      <c r="F37" s="50">
        <v>80000</v>
      </c>
      <c r="G37" s="50">
        <v>120000</v>
      </c>
      <c r="H37" s="50"/>
    </row>
    <row r="38" spans="1:8" ht="15" customHeight="1" x14ac:dyDescent="0.25">
      <c r="C38" s="6" t="s">
        <v>53</v>
      </c>
      <c r="D38" s="6" t="s">
        <v>64</v>
      </c>
      <c r="E38" s="41">
        <v>80000</v>
      </c>
      <c r="F38" s="41">
        <v>40000</v>
      </c>
      <c r="G38" s="41">
        <v>20000</v>
      </c>
      <c r="H38" s="50"/>
    </row>
    <row r="39" spans="1:8" ht="15" customHeight="1" x14ac:dyDescent="0.25">
      <c r="C39" t="s">
        <v>53</v>
      </c>
      <c r="D39" t="s">
        <v>54</v>
      </c>
      <c r="E39" s="50">
        <v>90000</v>
      </c>
      <c r="F39" s="50">
        <v>35000</v>
      </c>
      <c r="G39" s="50">
        <v>25000</v>
      </c>
      <c r="H39" s="50"/>
    </row>
    <row r="40" spans="1:8" ht="15" customHeight="1" x14ac:dyDescent="0.25">
      <c r="C40" s="6" t="s">
        <v>6</v>
      </c>
      <c r="D40" s="6" t="s">
        <v>7</v>
      </c>
      <c r="E40" s="41">
        <v>90000</v>
      </c>
      <c r="F40" s="41">
        <v>110000</v>
      </c>
      <c r="G40" s="41">
        <v>200000</v>
      </c>
      <c r="H40" s="50"/>
    </row>
    <row r="41" spans="1:8" ht="15" customHeight="1" x14ac:dyDescent="0.25">
      <c r="C41" t="s">
        <v>6</v>
      </c>
      <c r="D41" t="s">
        <v>8</v>
      </c>
      <c r="E41" s="50">
        <v>75000</v>
      </c>
      <c r="F41" s="50">
        <v>82000</v>
      </c>
      <c r="G41" s="50">
        <v>150000</v>
      </c>
      <c r="H41" s="50"/>
    </row>
    <row r="42" spans="1:8" ht="15" customHeight="1" x14ac:dyDescent="0.25">
      <c r="C42"/>
      <c r="D42"/>
      <c r="E42"/>
      <c r="F42"/>
      <c r="G42"/>
      <c r="H42"/>
    </row>
    <row r="43" spans="1:8" ht="15" customHeight="1" x14ac:dyDescent="0.25">
      <c r="C43"/>
      <c r="D43"/>
      <c r="E43"/>
      <c r="F43"/>
      <c r="G43"/>
      <c r="H43"/>
    </row>
    <row r="44" spans="1:8" ht="15" customHeight="1" x14ac:dyDescent="0.25">
      <c r="C44"/>
      <c r="D44"/>
      <c r="E44"/>
      <c r="F44"/>
      <c r="G44"/>
      <c r="H44"/>
    </row>
    <row r="45" spans="1:8" ht="15" customHeight="1" x14ac:dyDescent="0.25">
      <c r="C45"/>
      <c r="D45"/>
      <c r="E45"/>
      <c r="F45"/>
      <c r="G45"/>
      <c r="H45"/>
    </row>
    <row r="46" spans="1:8" ht="15" customHeight="1" x14ac:dyDescent="0.25">
      <c r="C46"/>
      <c r="D46"/>
      <c r="E46"/>
      <c r="F46"/>
      <c r="G46"/>
      <c r="H46"/>
    </row>
    <row r="47" spans="1:8" ht="15" customHeight="1" x14ac:dyDescent="0.25">
      <c r="A47" s="24" t="s">
        <v>198</v>
      </c>
      <c r="C47"/>
      <c r="D47"/>
      <c r="E47"/>
      <c r="F47"/>
      <c r="G47"/>
      <c r="H47"/>
    </row>
    <row r="48" spans="1:8" ht="15" customHeight="1" x14ac:dyDescent="0.25">
      <c r="A48" s="24" t="s">
        <v>199</v>
      </c>
      <c r="C48"/>
      <c r="D48"/>
      <c r="E48"/>
      <c r="F48"/>
      <c r="G48"/>
      <c r="H48"/>
    </row>
    <row r="49" spans="1:8" ht="15" customHeight="1" x14ac:dyDescent="0.25">
      <c r="A49" s="24" t="s">
        <v>315</v>
      </c>
      <c r="C49"/>
      <c r="D49"/>
      <c r="E49"/>
      <c r="F49"/>
      <c r="G49"/>
      <c r="H49"/>
    </row>
    <row r="50" spans="1:8" ht="15" customHeight="1" x14ac:dyDescent="0.25">
      <c r="A50" s="24" t="s">
        <v>239</v>
      </c>
      <c r="C50"/>
      <c r="D50"/>
      <c r="E50"/>
      <c r="F50"/>
      <c r="G50"/>
      <c r="H50"/>
    </row>
    <row r="51" spans="1:8" ht="15" customHeight="1" x14ac:dyDescent="0.25">
      <c r="A51" s="24" t="s">
        <v>316</v>
      </c>
      <c r="C51"/>
      <c r="D51"/>
      <c r="E51"/>
      <c r="F51"/>
      <c r="G51"/>
      <c r="H51"/>
    </row>
    <row r="52" spans="1:8" ht="15" customHeight="1" x14ac:dyDescent="0.25">
      <c r="A52" s="24" t="s">
        <v>317</v>
      </c>
      <c r="C52"/>
      <c r="D52"/>
      <c r="E52"/>
      <c r="F52"/>
      <c r="G52"/>
      <c r="H52"/>
    </row>
    <row r="53" spans="1:8" ht="15" customHeight="1" x14ac:dyDescent="0.25">
      <c r="A53" s="24" t="s">
        <v>318</v>
      </c>
      <c r="C53" s="40" t="s">
        <v>46</v>
      </c>
      <c r="D53" s="40" t="s">
        <v>26</v>
      </c>
      <c r="E53" s="40" t="s">
        <v>56</v>
      </c>
      <c r="F53"/>
      <c r="G53"/>
      <c r="H53"/>
    </row>
    <row r="54" spans="1:8" ht="15" customHeight="1" x14ac:dyDescent="0.25">
      <c r="A54" s="24" t="s">
        <v>240</v>
      </c>
      <c r="C54" s="6" t="s">
        <v>28</v>
      </c>
      <c r="D54" s="6" t="s">
        <v>50</v>
      </c>
      <c r="E54" s="50">
        <v>1000</v>
      </c>
      <c r="F54"/>
      <c r="G54"/>
      <c r="H54"/>
    </row>
    <row r="55" spans="1:8" ht="15" customHeight="1" x14ac:dyDescent="0.25">
      <c r="A55" s="24" t="s">
        <v>319</v>
      </c>
      <c r="C55" t="s">
        <v>28</v>
      </c>
      <c r="D55" t="s">
        <v>0</v>
      </c>
      <c r="E55" s="50">
        <v>2000</v>
      </c>
      <c r="F55"/>
      <c r="G55"/>
      <c r="H55"/>
    </row>
    <row r="56" spans="1:8" ht="15" customHeight="1" x14ac:dyDescent="0.25">
      <c r="A56" s="24" t="s">
        <v>241</v>
      </c>
      <c r="C56" s="6" t="s">
        <v>45</v>
      </c>
      <c r="D56" s="6" t="s">
        <v>51</v>
      </c>
      <c r="E56" s="50">
        <v>3000</v>
      </c>
      <c r="F56"/>
      <c r="G56"/>
      <c r="H56"/>
    </row>
    <row r="57" spans="1:8" ht="15" customHeight="1" x14ac:dyDescent="0.25">
      <c r="A57" s="24" t="s">
        <v>183</v>
      </c>
      <c r="C57" t="s">
        <v>45</v>
      </c>
      <c r="D57" t="s">
        <v>52</v>
      </c>
      <c r="E57" s="50">
        <v>1000</v>
      </c>
      <c r="F57"/>
      <c r="G57"/>
      <c r="H57"/>
    </row>
    <row r="58" spans="1:8" ht="15" customHeight="1" x14ac:dyDescent="0.25">
      <c r="C58" s="6" t="s">
        <v>53</v>
      </c>
      <c r="D58" s="6" t="s">
        <v>64</v>
      </c>
      <c r="E58" s="50">
        <v>2000</v>
      </c>
      <c r="F58"/>
      <c r="G58"/>
      <c r="H58"/>
    </row>
    <row r="59" spans="1:8" ht="15" customHeight="1" x14ac:dyDescent="0.25">
      <c r="C59" t="s">
        <v>53</v>
      </c>
      <c r="D59" t="s">
        <v>54</v>
      </c>
      <c r="E59" s="50">
        <v>3000</v>
      </c>
    </row>
    <row r="60" spans="1:8" ht="15" customHeight="1" x14ac:dyDescent="0.25">
      <c r="C60" s="6" t="s">
        <v>6</v>
      </c>
      <c r="D60" s="6" t="s">
        <v>7</v>
      </c>
      <c r="E60" s="50">
        <v>4000</v>
      </c>
    </row>
    <row r="61" spans="1:8" ht="15" customHeight="1" x14ac:dyDescent="0.25">
      <c r="C61" t="s">
        <v>6</v>
      </c>
      <c r="D61" t="s">
        <v>8</v>
      </c>
      <c r="E61" s="50">
        <v>8000</v>
      </c>
    </row>
    <row r="69" spans="1:8" ht="15" customHeight="1" x14ac:dyDescent="0.25">
      <c r="B69"/>
      <c r="C69"/>
      <c r="D69"/>
      <c r="E69"/>
      <c r="F69"/>
      <c r="G69"/>
      <c r="H69"/>
    </row>
    <row r="70" spans="1:8" ht="15" customHeight="1" x14ac:dyDescent="0.25">
      <c r="B70"/>
      <c r="C70"/>
      <c r="D70"/>
      <c r="E70"/>
      <c r="F70"/>
      <c r="G70"/>
      <c r="H70"/>
    </row>
    <row r="71" spans="1:8" ht="15" customHeight="1" x14ac:dyDescent="0.25">
      <c r="B71"/>
      <c r="C71"/>
      <c r="D71"/>
      <c r="E71"/>
      <c r="F71"/>
      <c r="G71"/>
      <c r="H71"/>
    </row>
    <row r="72" spans="1:8" ht="15" customHeight="1" x14ac:dyDescent="0.25">
      <c r="A72" s="24" t="s">
        <v>113</v>
      </c>
      <c r="B72"/>
      <c r="C72"/>
      <c r="D72"/>
      <c r="E72"/>
      <c r="F72"/>
      <c r="G72"/>
      <c r="H72"/>
    </row>
    <row r="73" spans="1:8" ht="15" customHeight="1" x14ac:dyDescent="0.25">
      <c r="A73" s="24" t="s">
        <v>200</v>
      </c>
      <c r="B73"/>
      <c r="C73"/>
      <c r="D73"/>
      <c r="E73"/>
      <c r="F73"/>
      <c r="G73"/>
      <c r="H73"/>
    </row>
    <row r="74" spans="1:8" ht="15" customHeight="1" x14ac:dyDescent="0.25">
      <c r="A74" s="24" t="s">
        <v>201</v>
      </c>
      <c r="B74"/>
      <c r="C74"/>
      <c r="D74"/>
      <c r="E74"/>
      <c r="F74"/>
      <c r="G74"/>
      <c r="H74"/>
    </row>
    <row r="75" spans="1:8" ht="15" customHeight="1" x14ac:dyDescent="0.25">
      <c r="A75" s="24" t="s">
        <v>202</v>
      </c>
      <c r="B75"/>
      <c r="C75"/>
      <c r="D75"/>
      <c r="E75"/>
      <c r="F75"/>
      <c r="G75"/>
      <c r="H75"/>
    </row>
    <row r="76" spans="1:8" ht="15" customHeight="1" x14ac:dyDescent="0.25">
      <c r="A76" s="24" t="s">
        <v>112</v>
      </c>
      <c r="B76" t="s">
        <v>171</v>
      </c>
      <c r="C76"/>
      <c r="D76"/>
      <c r="E76"/>
      <c r="F76"/>
      <c r="G76"/>
      <c r="H76"/>
    </row>
  </sheetData>
  <hyperlinks>
    <hyperlink ref="A75" r:id="rId1" tooltip="Select to learn about using calculated columns in an Excel table from the web"/>
    <hyperlink ref="A74" r:id="rId2" tooltip="Select to learn about Total the data in an Excel table from the web"/>
    <hyperlink ref="A73" r:id="rId3" tooltip="Select to learn an overview of Excel tables from the web"/>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64"/>
  <sheetViews>
    <sheetView showGridLines="0" topLeftCell="A46" zoomScaleNormal="100" zoomScalePageLayoutView="125" workbookViewId="0">
      <selection activeCell="D32" sqref="D32"/>
    </sheetView>
  </sheetViews>
  <sheetFormatPr defaultColWidth="8.85546875" defaultRowHeight="15" customHeight="1" x14ac:dyDescent="0.25"/>
  <cols>
    <col min="1" max="1" width="12.7109375" style="24" customWidth="1"/>
    <col min="2" max="2" width="82.85546875" style="17" customWidth="1"/>
    <col min="3" max="4" width="11.7109375" style="1" customWidth="1"/>
    <col min="5" max="6" width="13.85546875" style="1" customWidth="1"/>
    <col min="7" max="16384" width="8.85546875" style="1"/>
  </cols>
  <sheetData>
    <row r="1" spans="1:6" ht="60" customHeight="1" x14ac:dyDescent="0.25">
      <c r="A1" s="24" t="s">
        <v>133</v>
      </c>
      <c r="C1"/>
      <c r="D1"/>
      <c r="E1"/>
      <c r="F1"/>
    </row>
    <row r="2" spans="1:6" ht="15" customHeight="1" x14ac:dyDescent="0.25">
      <c r="A2" s="24" t="s">
        <v>203</v>
      </c>
      <c r="C2"/>
      <c r="D2"/>
      <c r="E2"/>
      <c r="F2"/>
    </row>
    <row r="3" spans="1:6" ht="15" customHeight="1" x14ac:dyDescent="0.25">
      <c r="A3" s="24" t="s">
        <v>320</v>
      </c>
      <c r="C3" s="40" t="s">
        <v>57</v>
      </c>
      <c r="D3" s="40" t="s">
        <v>46</v>
      </c>
      <c r="E3"/>
      <c r="F3"/>
    </row>
    <row r="4" spans="1:6" ht="15" customHeight="1" x14ac:dyDescent="0.25">
      <c r="A4" s="24" t="s">
        <v>204</v>
      </c>
      <c r="C4" s="7" t="s">
        <v>2</v>
      </c>
      <c r="D4" s="8"/>
      <c r="E4"/>
      <c r="F4"/>
    </row>
    <row r="5" spans="1:6" s="4" customFormat="1" ht="15" customHeight="1" x14ac:dyDescent="0.25">
      <c r="A5" s="24" t="s">
        <v>321</v>
      </c>
      <c r="B5" s="17"/>
      <c r="C5" s="7" t="s">
        <v>7</v>
      </c>
      <c r="D5" s="8"/>
      <c r="F5"/>
    </row>
    <row r="6" spans="1:6" s="4" customFormat="1" ht="15" customHeight="1" x14ac:dyDescent="0.25">
      <c r="A6" s="24" t="s">
        <v>245</v>
      </c>
      <c r="B6" s="17"/>
      <c r="C6" s="7" t="s">
        <v>4</v>
      </c>
      <c r="D6" s="8"/>
      <c r="F6"/>
    </row>
    <row r="7" spans="1:6" s="4" customFormat="1" ht="15" customHeight="1" x14ac:dyDescent="0.25">
      <c r="A7" s="24" t="s">
        <v>322</v>
      </c>
      <c r="B7" s="17"/>
      <c r="C7" s="7" t="s">
        <v>5</v>
      </c>
      <c r="D7" s="8"/>
      <c r="F7"/>
    </row>
    <row r="8" spans="1:6" s="4" customFormat="1" ht="15" customHeight="1" x14ac:dyDescent="0.25">
      <c r="A8" s="24" t="s">
        <v>340</v>
      </c>
      <c r="B8" s="17"/>
      <c r="C8" s="7" t="s">
        <v>58</v>
      </c>
      <c r="D8" s="8"/>
      <c r="F8"/>
    </row>
    <row r="9" spans="1:6" s="4" customFormat="1" ht="15" customHeight="1" x14ac:dyDescent="0.25">
      <c r="A9" s="24" t="s">
        <v>242</v>
      </c>
      <c r="B9" s="17"/>
      <c r="C9" s="7" t="s">
        <v>59</v>
      </c>
      <c r="D9" s="8"/>
      <c r="F9"/>
    </row>
    <row r="10" spans="1:6" s="4" customFormat="1" ht="15" customHeight="1" x14ac:dyDescent="0.25">
      <c r="A10" s="24" t="s">
        <v>118</v>
      </c>
      <c r="B10" s="17"/>
      <c r="C10" s="7" t="s">
        <v>60</v>
      </c>
      <c r="D10" s="8"/>
      <c r="F10"/>
    </row>
    <row r="11" spans="1:6" s="4" customFormat="1" ht="15" customHeight="1" x14ac:dyDescent="0.25">
      <c r="A11" s="24"/>
      <c r="B11" s="17"/>
      <c r="C11" s="7" t="s">
        <v>12</v>
      </c>
      <c r="D11" s="8"/>
      <c r="F11"/>
    </row>
    <row r="12" spans="1:6" s="4" customFormat="1" ht="15" customHeight="1" x14ac:dyDescent="0.25">
      <c r="A12" s="24"/>
      <c r="B12" s="17"/>
      <c r="C12" s="7" t="s">
        <v>8</v>
      </c>
      <c r="D12" s="8"/>
      <c r="F12"/>
    </row>
    <row r="13" spans="1:6" s="4" customFormat="1" ht="15" customHeight="1" x14ac:dyDescent="0.25">
      <c r="A13" s="24"/>
      <c r="B13" s="17"/>
      <c r="C13" s="7" t="s">
        <v>14</v>
      </c>
      <c r="D13" s="8"/>
      <c r="F13"/>
    </row>
    <row r="14" spans="1:6" s="4" customFormat="1" ht="15" customHeight="1" x14ac:dyDescent="0.25">
      <c r="A14" s="24"/>
      <c r="B14" s="17"/>
      <c r="C14" s="7" t="s">
        <v>15</v>
      </c>
      <c r="D14" s="8"/>
      <c r="F14"/>
    </row>
    <row r="15" spans="1:6" s="4" customFormat="1" ht="15" customHeight="1" x14ac:dyDescent="0.25">
      <c r="A15" s="24"/>
      <c r="B15" s="17"/>
      <c r="C15" s="7" t="s">
        <v>16</v>
      </c>
      <c r="D15" s="8"/>
      <c r="F15"/>
    </row>
    <row r="16" spans="1:6" s="4" customFormat="1" ht="15" customHeight="1" x14ac:dyDescent="0.25">
      <c r="A16" s="24"/>
      <c r="B16" s="17"/>
    </row>
    <row r="17" spans="1:6" s="4" customFormat="1" ht="15" customHeight="1" x14ac:dyDescent="0.25">
      <c r="A17" s="24"/>
      <c r="B17" s="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205</v>
      </c>
    </row>
    <row r="28" spans="1:6" ht="15" customHeight="1" x14ac:dyDescent="0.25">
      <c r="A28" s="24" t="s">
        <v>206</v>
      </c>
    </row>
    <row r="29" spans="1:6" ht="15" customHeight="1" x14ac:dyDescent="0.25">
      <c r="A29" s="24" t="s">
        <v>323</v>
      </c>
      <c r="C29"/>
      <c r="D29"/>
      <c r="E29"/>
      <c r="F29"/>
    </row>
    <row r="30" spans="1:6" ht="15" customHeight="1" x14ac:dyDescent="0.25">
      <c r="A30" s="24" t="s">
        <v>243</v>
      </c>
      <c r="C30"/>
      <c r="D30"/>
      <c r="F30"/>
    </row>
    <row r="31" spans="1:6" ht="15" customHeight="1" x14ac:dyDescent="0.25">
      <c r="A31" s="24" t="s">
        <v>246</v>
      </c>
      <c r="C31" s="40" t="s">
        <v>57</v>
      </c>
      <c r="D31" s="40" t="s">
        <v>46</v>
      </c>
      <c r="F31" s="58" t="s">
        <v>46</v>
      </c>
    </row>
    <row r="32" spans="1:6" ht="15" customHeight="1" x14ac:dyDescent="0.25">
      <c r="A32" s="24" t="s">
        <v>244</v>
      </c>
      <c r="C32" s="7" t="s">
        <v>2</v>
      </c>
      <c r="D32" s="7"/>
      <c r="F32" s="18" t="s">
        <v>28</v>
      </c>
    </row>
    <row r="33" spans="1:6" ht="15" customHeight="1" x14ac:dyDescent="0.25">
      <c r="A33" s="24" t="s">
        <v>247</v>
      </c>
      <c r="C33" s="7" t="s">
        <v>7</v>
      </c>
      <c r="D33" s="7"/>
      <c r="F33" s="7" t="s">
        <v>6</v>
      </c>
    </row>
    <row r="34" spans="1:6" ht="15" customHeight="1" x14ac:dyDescent="0.25">
      <c r="A34" s="24" t="s">
        <v>324</v>
      </c>
      <c r="C34" s="7" t="s">
        <v>4</v>
      </c>
      <c r="D34" s="7"/>
      <c r="F34" s="18" t="s">
        <v>45</v>
      </c>
    </row>
    <row r="35" spans="1:6" ht="15" customHeight="1" x14ac:dyDescent="0.25">
      <c r="A35" s="24" t="s">
        <v>248</v>
      </c>
      <c r="C35" s="7" t="s">
        <v>5</v>
      </c>
      <c r="D35" s="7"/>
      <c r="F35" s="18" t="s">
        <v>378</v>
      </c>
    </row>
    <row r="36" spans="1:6" ht="15" customHeight="1" x14ac:dyDescent="0.25">
      <c r="A36" s="24" t="s">
        <v>249</v>
      </c>
      <c r="C36" s="7" t="s">
        <v>58</v>
      </c>
      <c r="D36" s="7"/>
      <c r="E36"/>
      <c r="F36"/>
    </row>
    <row r="37" spans="1:6" ht="15" customHeight="1" x14ac:dyDescent="0.25">
      <c r="A37" s="24" t="s">
        <v>250</v>
      </c>
      <c r="C37" s="7" t="s">
        <v>59</v>
      </c>
      <c r="D37" s="7"/>
      <c r="E37"/>
      <c r="F37"/>
    </row>
    <row r="38" spans="1:6" ht="15" customHeight="1" x14ac:dyDescent="0.25">
      <c r="A38" s="24" t="s">
        <v>207</v>
      </c>
      <c r="C38" s="7" t="s">
        <v>60</v>
      </c>
      <c r="D38" s="7"/>
      <c r="E38"/>
      <c r="F38"/>
    </row>
    <row r="39" spans="1:6" ht="15" customHeight="1" x14ac:dyDescent="0.25">
      <c r="C39" s="7" t="s">
        <v>12</v>
      </c>
      <c r="D39" s="7"/>
      <c r="E39"/>
      <c r="F39"/>
    </row>
    <row r="40" spans="1:6" ht="15" customHeight="1" x14ac:dyDescent="0.25">
      <c r="C40" s="7" t="s">
        <v>8</v>
      </c>
      <c r="D40" s="7"/>
      <c r="E40"/>
      <c r="F40"/>
    </row>
    <row r="41" spans="1:6" ht="15" customHeight="1" x14ac:dyDescent="0.25">
      <c r="C41" s="7" t="s">
        <v>14</v>
      </c>
      <c r="D41" s="7"/>
      <c r="E41"/>
      <c r="F41"/>
    </row>
    <row r="42" spans="1:6" ht="15" customHeight="1" x14ac:dyDescent="0.25">
      <c r="C42" s="7" t="s">
        <v>15</v>
      </c>
      <c r="D42" s="7"/>
      <c r="E42"/>
      <c r="F42"/>
    </row>
    <row r="43" spans="1:6" ht="15" customHeight="1" x14ac:dyDescent="0.25">
      <c r="C43" s="7" t="s">
        <v>16</v>
      </c>
      <c r="D43" s="7"/>
      <c r="E43"/>
      <c r="F43"/>
    </row>
    <row r="44" spans="1:6" ht="15" customHeight="1" x14ac:dyDescent="0.25">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58" spans="1:6" ht="15" customHeight="1" x14ac:dyDescent="0.25">
      <c r="F58"/>
    </row>
    <row r="60" spans="1:6" ht="15" customHeight="1" x14ac:dyDescent="0.25">
      <c r="A60" s="24" t="s">
        <v>113</v>
      </c>
      <c r="C60"/>
      <c r="D60"/>
      <c r="E60"/>
    </row>
    <row r="61" spans="1:6" ht="15" customHeight="1" x14ac:dyDescent="0.25">
      <c r="A61" s="24" t="s">
        <v>208</v>
      </c>
      <c r="C61"/>
      <c r="D61"/>
      <c r="E61"/>
      <c r="F61"/>
    </row>
    <row r="62" spans="1:6" ht="15" customHeight="1" x14ac:dyDescent="0.25">
      <c r="A62" s="24" t="s">
        <v>209</v>
      </c>
      <c r="C62"/>
      <c r="D62"/>
      <c r="E62"/>
      <c r="F62"/>
    </row>
    <row r="63" spans="1:6" ht="15" customHeight="1" x14ac:dyDescent="0.25">
      <c r="A63" s="24" t="s">
        <v>112</v>
      </c>
      <c r="C63"/>
      <c r="D63"/>
      <c r="E63"/>
      <c r="F63"/>
    </row>
    <row r="64" spans="1:6" ht="15" customHeight="1" x14ac:dyDescent="0.25">
      <c r="F64"/>
    </row>
  </sheetData>
  <dataValidations count="2">
    <dataValidation type="list" allowBlank="1" showInputMessage="1" showErrorMessage="1" sqref="D4:D15">
      <formula1>"fruit,bakery,food"</formula1>
    </dataValidation>
    <dataValidation type="list" allowBlank="1" showInputMessage="1" showErrorMessage="1" sqref="D32:D43">
      <formula1>$F$32:$F$35</formula1>
    </dataValidation>
  </dataValidations>
  <hyperlinks>
    <hyperlink ref="A62" r:id="rId1" tooltip="Select to learn about creating a drop-down list from the web"/>
    <hyperlink ref="A61" r:id="rId2" tooltip="Select to learn about applying data validation to cells from the web"/>
  </hyperlinks>
  <pageMargins left="0.7" right="0.7" top="0.75" bottom="0.75" header="0.3" footer="0.3"/>
  <pageSetup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71"/>
  <sheetViews>
    <sheetView showGridLines="0" topLeftCell="A52" zoomScaleNormal="100" zoomScalePageLayoutView="125" workbookViewId="0">
      <selection activeCell="K56" sqref="K56"/>
    </sheetView>
  </sheetViews>
  <sheetFormatPr defaultColWidth="8.85546875" defaultRowHeight="15" customHeight="1" x14ac:dyDescent="0.25"/>
  <cols>
    <col min="1" max="1" width="12.7109375" style="24" customWidth="1"/>
    <col min="2" max="2" width="82.85546875" style="17" customWidth="1"/>
    <col min="3" max="3" width="13.85546875" style="1" customWidth="1"/>
    <col min="4" max="4" width="11" style="1" customWidth="1"/>
    <col min="5" max="5" width="10.85546875" style="1" customWidth="1"/>
    <col min="6" max="7" width="11.85546875" style="1" customWidth="1"/>
    <col min="8" max="16384" width="8.85546875" style="1"/>
  </cols>
  <sheetData>
    <row r="1" spans="1:7" ht="60" customHeight="1" x14ac:dyDescent="0.25">
      <c r="A1" s="24" t="s">
        <v>134</v>
      </c>
      <c r="C1"/>
      <c r="D1"/>
      <c r="E1"/>
      <c r="F1"/>
      <c r="G1"/>
    </row>
    <row r="2" spans="1:7" ht="15" customHeight="1" x14ac:dyDescent="0.25">
      <c r="A2" s="24" t="s">
        <v>210</v>
      </c>
      <c r="C2"/>
      <c r="D2"/>
      <c r="E2"/>
      <c r="F2"/>
      <c r="G2"/>
    </row>
    <row r="3" spans="1:7" ht="15" customHeight="1" x14ac:dyDescent="0.25">
      <c r="A3" s="24" t="s">
        <v>325</v>
      </c>
      <c r="C3"/>
      <c r="D3"/>
      <c r="E3"/>
      <c r="F3"/>
      <c r="G3"/>
    </row>
    <row r="4" spans="1:7" ht="15" customHeight="1" x14ac:dyDescent="0.25">
      <c r="A4" s="24" t="s">
        <v>255</v>
      </c>
      <c r="C4"/>
      <c r="D4"/>
      <c r="E4"/>
      <c r="F4"/>
      <c r="G4"/>
    </row>
    <row r="5" spans="1:7" s="4" customFormat="1" ht="15" customHeight="1" x14ac:dyDescent="0.25">
      <c r="A5" s="24" t="s">
        <v>358</v>
      </c>
      <c r="B5" s="17"/>
      <c r="C5" t="s">
        <v>46</v>
      </c>
      <c r="D5" t="s">
        <v>26</v>
      </c>
      <c r="E5" t="s">
        <v>47</v>
      </c>
      <c r="F5" t="s">
        <v>48</v>
      </c>
      <c r="G5" t="s">
        <v>49</v>
      </c>
    </row>
    <row r="6" spans="1:7" s="4" customFormat="1" ht="15" customHeight="1" x14ac:dyDescent="0.25">
      <c r="A6" s="24" t="s">
        <v>251</v>
      </c>
      <c r="B6" s="17"/>
      <c r="C6" t="s">
        <v>28</v>
      </c>
      <c r="D6" t="s">
        <v>50</v>
      </c>
      <c r="E6" s="50">
        <v>30000</v>
      </c>
      <c r="F6" s="50">
        <v>80000</v>
      </c>
      <c r="G6" s="50">
        <v>30000</v>
      </c>
    </row>
    <row r="7" spans="1:7" s="4" customFormat="1" ht="15" customHeight="1" x14ac:dyDescent="0.25">
      <c r="A7" s="24" t="s">
        <v>252</v>
      </c>
      <c r="B7" s="17"/>
      <c r="C7" t="s">
        <v>28</v>
      </c>
      <c r="D7" t="s">
        <v>0</v>
      </c>
      <c r="E7" s="50">
        <v>10000</v>
      </c>
      <c r="F7" s="50">
        <v>30000</v>
      </c>
      <c r="G7" s="50">
        <v>40000</v>
      </c>
    </row>
    <row r="8" spans="1:7" s="4" customFormat="1" ht="15" customHeight="1" x14ac:dyDescent="0.25">
      <c r="A8" s="24" t="s">
        <v>359</v>
      </c>
      <c r="B8" s="17"/>
      <c r="C8" t="s">
        <v>45</v>
      </c>
      <c r="D8" t="s">
        <v>51</v>
      </c>
      <c r="E8" s="50">
        <v>30000</v>
      </c>
      <c r="F8" s="50">
        <v>15000</v>
      </c>
      <c r="G8" s="50">
        <v>20000</v>
      </c>
    </row>
    <row r="9" spans="1:7" s="4" customFormat="1" ht="15" customHeight="1" x14ac:dyDescent="0.25">
      <c r="A9" s="24" t="s">
        <v>253</v>
      </c>
      <c r="B9" s="17"/>
      <c r="C9" t="s">
        <v>45</v>
      </c>
      <c r="D9" t="s">
        <v>52</v>
      </c>
      <c r="E9" s="50">
        <v>25000</v>
      </c>
      <c r="F9" s="50">
        <v>80000</v>
      </c>
      <c r="G9" s="50">
        <v>120000</v>
      </c>
    </row>
    <row r="10" spans="1:7" s="4" customFormat="1" ht="15" customHeight="1" x14ac:dyDescent="0.25">
      <c r="A10" s="24" t="s">
        <v>118</v>
      </c>
      <c r="B10" s="17"/>
      <c r="C10" t="s">
        <v>53</v>
      </c>
      <c r="D10" t="s">
        <v>65</v>
      </c>
      <c r="E10" s="50">
        <v>80000</v>
      </c>
      <c r="F10" s="50">
        <v>40000</v>
      </c>
      <c r="G10" s="50">
        <v>20000</v>
      </c>
    </row>
    <row r="11" spans="1:7" s="4" customFormat="1" ht="15" customHeight="1" x14ac:dyDescent="0.25">
      <c r="A11" s="24"/>
      <c r="B11" s="17"/>
      <c r="C11" t="s">
        <v>53</v>
      </c>
      <c r="D11" t="s">
        <v>54</v>
      </c>
      <c r="E11" s="50">
        <v>90000</v>
      </c>
      <c r="F11" s="50">
        <v>35000</v>
      </c>
      <c r="G11" s="50">
        <v>25000</v>
      </c>
    </row>
    <row r="12" spans="1:7" s="4" customFormat="1" ht="15" customHeight="1" x14ac:dyDescent="0.25">
      <c r="A12" s="24"/>
      <c r="B12" s="17"/>
      <c r="C12" t="s">
        <v>6</v>
      </c>
      <c r="D12" t="s">
        <v>7</v>
      </c>
      <c r="E12" s="50">
        <v>90000</v>
      </c>
      <c r="F12" s="50">
        <v>110000</v>
      </c>
      <c r="G12" s="50">
        <v>200000</v>
      </c>
    </row>
    <row r="13" spans="1:7" s="4" customFormat="1" ht="15" customHeight="1" x14ac:dyDescent="0.25">
      <c r="A13" s="24"/>
      <c r="B13" s="17"/>
      <c r="C13" t="s">
        <v>6</v>
      </c>
      <c r="D13" t="s">
        <v>8</v>
      </c>
      <c r="E13" s="50">
        <v>75000</v>
      </c>
      <c r="F13" s="50">
        <v>82000</v>
      </c>
      <c r="G13" s="50">
        <v>150000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211</v>
      </c>
      <c r="C27"/>
      <c r="D27"/>
      <c r="E27"/>
      <c r="F27"/>
      <c r="G27"/>
    </row>
    <row r="28" spans="1:7" ht="15" customHeight="1" x14ac:dyDescent="0.25">
      <c r="A28" s="24" t="s">
        <v>254</v>
      </c>
      <c r="C28"/>
      <c r="D28"/>
      <c r="E28"/>
      <c r="F28"/>
      <c r="G28"/>
    </row>
    <row r="29" spans="1:7" ht="15" customHeight="1" x14ac:dyDescent="0.25">
      <c r="A29" s="24" t="s">
        <v>326</v>
      </c>
      <c r="C29"/>
      <c r="D29"/>
      <c r="E29"/>
      <c r="F29"/>
      <c r="G29"/>
    </row>
    <row r="30" spans="1:7" ht="15" customHeight="1" x14ac:dyDescent="0.25">
      <c r="A30" s="24" t="s">
        <v>256</v>
      </c>
      <c r="C30"/>
      <c r="D30"/>
      <c r="E30"/>
      <c r="F30"/>
      <c r="G30"/>
    </row>
    <row r="31" spans="1:7" ht="15" customHeight="1" x14ac:dyDescent="0.25">
      <c r="A31" s="24" t="s">
        <v>257</v>
      </c>
    </row>
    <row r="32" spans="1:7" ht="15" customHeight="1" x14ac:dyDescent="0.25">
      <c r="A32" s="24" t="s">
        <v>258</v>
      </c>
      <c r="C32"/>
      <c r="D32"/>
      <c r="E32"/>
      <c r="F32"/>
      <c r="G32"/>
    </row>
    <row r="33" spans="1:7" ht="15" customHeight="1" x14ac:dyDescent="0.25">
      <c r="A33" s="24" t="s">
        <v>341</v>
      </c>
    </row>
    <row r="34" spans="1:7" ht="15" customHeight="1" x14ac:dyDescent="0.25">
      <c r="A34" s="24" t="s">
        <v>197</v>
      </c>
      <c r="C34" t="s">
        <v>46</v>
      </c>
      <c r="D34" t="s">
        <v>26</v>
      </c>
      <c r="E34" t="s">
        <v>47</v>
      </c>
      <c r="F34" t="s">
        <v>48</v>
      </c>
      <c r="G34" t="s">
        <v>49</v>
      </c>
    </row>
    <row r="35" spans="1:7" ht="15" customHeight="1" x14ac:dyDescent="0.25">
      <c r="C35" t="s">
        <v>45</v>
      </c>
      <c r="D35" t="s">
        <v>51</v>
      </c>
      <c r="E35" s="50">
        <v>30000</v>
      </c>
      <c r="F35" s="50">
        <v>15000</v>
      </c>
      <c r="G35" s="50">
        <v>20000</v>
      </c>
    </row>
    <row r="36" spans="1:7" ht="15" customHeight="1" x14ac:dyDescent="0.25">
      <c r="C36" t="s">
        <v>45</v>
      </c>
      <c r="D36" t="s">
        <v>52</v>
      </c>
      <c r="E36" s="50">
        <v>25000</v>
      </c>
      <c r="F36" s="50">
        <v>80000</v>
      </c>
      <c r="G36" s="50">
        <v>120000</v>
      </c>
    </row>
    <row r="37" spans="1:7" ht="15" customHeight="1" x14ac:dyDescent="0.25">
      <c r="C37" t="s">
        <v>53</v>
      </c>
      <c r="D37" t="s">
        <v>64</v>
      </c>
      <c r="E37" s="50">
        <v>80000</v>
      </c>
      <c r="F37" s="50">
        <v>40000</v>
      </c>
      <c r="G37" s="50">
        <v>20000</v>
      </c>
    </row>
    <row r="38" spans="1:7" ht="15" customHeight="1" x14ac:dyDescent="0.25">
      <c r="C38" t="s">
        <v>53</v>
      </c>
      <c r="D38" t="s">
        <v>54</v>
      </c>
      <c r="E38" s="50">
        <v>90000</v>
      </c>
      <c r="F38" s="50">
        <v>35000</v>
      </c>
      <c r="G38" s="50">
        <v>25000</v>
      </c>
    </row>
    <row r="39" spans="1:7" ht="15" customHeight="1" x14ac:dyDescent="0.25">
      <c r="C39" t="s">
        <v>6</v>
      </c>
      <c r="D39" t="s">
        <v>7</v>
      </c>
      <c r="E39" s="50">
        <v>90000</v>
      </c>
      <c r="F39" s="50">
        <v>110000</v>
      </c>
      <c r="G39" s="50">
        <v>200000</v>
      </c>
    </row>
    <row r="40" spans="1:7" ht="15" customHeight="1" x14ac:dyDescent="0.25">
      <c r="C40" t="s">
        <v>6</v>
      </c>
      <c r="D40" t="s">
        <v>8</v>
      </c>
      <c r="E40" s="50">
        <v>75000</v>
      </c>
      <c r="F40" s="50">
        <v>82000</v>
      </c>
      <c r="G40" s="50">
        <v>150000</v>
      </c>
    </row>
    <row r="41" spans="1:7" ht="15" customHeight="1" x14ac:dyDescent="0.25">
      <c r="C41" t="s">
        <v>28</v>
      </c>
      <c r="D41" t="s">
        <v>50</v>
      </c>
      <c r="E41" s="50">
        <v>30000</v>
      </c>
      <c r="F41" s="50">
        <v>80000</v>
      </c>
      <c r="G41" s="50">
        <v>30000</v>
      </c>
    </row>
    <row r="42" spans="1:7" ht="15" customHeight="1" x14ac:dyDescent="0.25">
      <c r="C42" t="s">
        <v>28</v>
      </c>
      <c r="D42" t="s">
        <v>0</v>
      </c>
      <c r="E42" s="50">
        <v>10000</v>
      </c>
      <c r="F42" s="50">
        <v>30000</v>
      </c>
      <c r="G42" s="50">
        <v>40000</v>
      </c>
    </row>
    <row r="43" spans="1:7" ht="15" customHeight="1" x14ac:dyDescent="0.25">
      <c r="C43"/>
      <c r="D43"/>
      <c r="E43"/>
      <c r="F43"/>
      <c r="G43"/>
    </row>
    <row r="44" spans="1:7" ht="15" customHeight="1" x14ac:dyDescent="0.25">
      <c r="C44"/>
      <c r="D44"/>
      <c r="E44"/>
      <c r="F44"/>
      <c r="G44"/>
    </row>
    <row r="45" spans="1:7" ht="15" customHeight="1" x14ac:dyDescent="0.25">
      <c r="C45"/>
      <c r="D45"/>
      <c r="E45"/>
      <c r="F45"/>
      <c r="G45"/>
    </row>
    <row r="46" spans="1:7" ht="15" customHeight="1" x14ac:dyDescent="0.25">
      <c r="C46"/>
      <c r="D46"/>
      <c r="E46"/>
      <c r="F46"/>
      <c r="G46"/>
    </row>
    <row r="47" spans="1:7" ht="15" customHeight="1" x14ac:dyDescent="0.25">
      <c r="A47" s="24" t="s">
        <v>212</v>
      </c>
      <c r="C47"/>
      <c r="D47"/>
      <c r="E47"/>
      <c r="F47"/>
      <c r="G47"/>
    </row>
    <row r="48" spans="1:7" ht="15" customHeight="1" x14ac:dyDescent="0.25">
      <c r="A48" s="24" t="s">
        <v>213</v>
      </c>
      <c r="C48"/>
      <c r="D48"/>
      <c r="E48"/>
      <c r="F48"/>
      <c r="G48"/>
    </row>
    <row r="49" spans="1:7" ht="15" customHeight="1" x14ac:dyDescent="0.25">
      <c r="A49" s="24" t="s">
        <v>327</v>
      </c>
      <c r="C49"/>
      <c r="D49"/>
      <c r="E49"/>
      <c r="F49"/>
      <c r="G49"/>
    </row>
    <row r="50" spans="1:7" ht="15" customHeight="1" x14ac:dyDescent="0.25">
      <c r="A50" s="24" t="s">
        <v>259</v>
      </c>
      <c r="C50"/>
      <c r="D50"/>
      <c r="E50"/>
      <c r="F50"/>
      <c r="G50"/>
    </row>
    <row r="51" spans="1:7" ht="15" customHeight="1" x14ac:dyDescent="0.25">
      <c r="A51" s="24" t="s">
        <v>260</v>
      </c>
      <c r="C51"/>
      <c r="D51"/>
      <c r="E51"/>
      <c r="F51"/>
      <c r="G51"/>
    </row>
    <row r="52" spans="1:7" ht="15" customHeight="1" x14ac:dyDescent="0.25">
      <c r="A52" s="24" t="s">
        <v>261</v>
      </c>
      <c r="C52"/>
      <c r="D52"/>
      <c r="E52"/>
      <c r="F52"/>
      <c r="G52"/>
    </row>
    <row r="53" spans="1:7" ht="15" customHeight="1" x14ac:dyDescent="0.25">
      <c r="A53" s="24" t="s">
        <v>328</v>
      </c>
      <c r="C53"/>
      <c r="D53"/>
      <c r="E53"/>
      <c r="F53"/>
      <c r="G53"/>
    </row>
    <row r="54" spans="1:7" ht="15" customHeight="1" x14ac:dyDescent="0.25">
      <c r="A54" s="24" t="s">
        <v>216</v>
      </c>
      <c r="C54" t="s">
        <v>46</v>
      </c>
      <c r="D54" t="s">
        <v>26</v>
      </c>
      <c r="E54" t="s">
        <v>47</v>
      </c>
      <c r="F54" t="s">
        <v>48</v>
      </c>
      <c r="G54" t="s">
        <v>49</v>
      </c>
    </row>
    <row r="55" spans="1:7" ht="15" customHeight="1" x14ac:dyDescent="0.25">
      <c r="C55" t="s">
        <v>45</v>
      </c>
      <c r="D55" t="s">
        <v>51</v>
      </c>
      <c r="E55" s="50">
        <v>30000</v>
      </c>
      <c r="F55" s="50">
        <v>15000</v>
      </c>
      <c r="G55" s="50">
        <v>20000</v>
      </c>
    </row>
    <row r="56" spans="1:7" ht="15" customHeight="1" x14ac:dyDescent="0.25">
      <c r="C56" t="s">
        <v>45</v>
      </c>
      <c r="D56" t="s">
        <v>52</v>
      </c>
      <c r="E56" s="50">
        <v>25000</v>
      </c>
      <c r="F56" s="50">
        <v>80000</v>
      </c>
      <c r="G56" s="50">
        <v>120000</v>
      </c>
    </row>
    <row r="57" spans="1:7" ht="15" customHeight="1" x14ac:dyDescent="0.25">
      <c r="C57" t="s">
        <v>53</v>
      </c>
      <c r="D57" t="s">
        <v>64</v>
      </c>
      <c r="E57" s="50">
        <v>80000</v>
      </c>
      <c r="F57" s="50">
        <v>40000</v>
      </c>
      <c r="G57" s="50">
        <v>20000</v>
      </c>
    </row>
    <row r="58" spans="1:7" ht="15" customHeight="1" x14ac:dyDescent="0.25">
      <c r="C58" t="s">
        <v>53</v>
      </c>
      <c r="D58" t="s">
        <v>54</v>
      </c>
      <c r="E58" s="50">
        <v>90000</v>
      </c>
      <c r="F58" s="50">
        <v>35000</v>
      </c>
      <c r="G58" s="50">
        <v>25000</v>
      </c>
    </row>
    <row r="59" spans="1:7" ht="15" customHeight="1" x14ac:dyDescent="0.25">
      <c r="C59" t="s">
        <v>6</v>
      </c>
      <c r="D59" t="s">
        <v>7</v>
      </c>
      <c r="E59" s="50">
        <v>90000</v>
      </c>
      <c r="F59" s="50">
        <v>110000</v>
      </c>
      <c r="G59" s="50">
        <v>200000</v>
      </c>
    </row>
    <row r="60" spans="1:7" ht="15" customHeight="1" x14ac:dyDescent="0.25">
      <c r="C60" t="s">
        <v>6</v>
      </c>
      <c r="D60" t="s">
        <v>8</v>
      </c>
      <c r="E60" s="50">
        <v>75000</v>
      </c>
      <c r="F60" s="50">
        <v>82000</v>
      </c>
      <c r="G60" s="50">
        <v>150000</v>
      </c>
    </row>
    <row r="61" spans="1:7" ht="15" customHeight="1" x14ac:dyDescent="0.25">
      <c r="C61" t="s">
        <v>28</v>
      </c>
      <c r="D61" t="s">
        <v>50</v>
      </c>
      <c r="E61" s="50">
        <v>30000</v>
      </c>
      <c r="F61" s="50">
        <v>80000</v>
      </c>
      <c r="G61" s="50">
        <v>30000</v>
      </c>
    </row>
    <row r="62" spans="1:7" ht="15" customHeight="1" x14ac:dyDescent="0.25">
      <c r="C62" t="s">
        <v>28</v>
      </c>
      <c r="D62" t="s">
        <v>0</v>
      </c>
      <c r="E62" s="50">
        <v>10000</v>
      </c>
      <c r="F62" s="50">
        <v>30000</v>
      </c>
      <c r="G62" s="50">
        <v>40000</v>
      </c>
    </row>
    <row r="68" spans="1:7" ht="15" customHeight="1" x14ac:dyDescent="0.25">
      <c r="A68" s="24" t="s">
        <v>113</v>
      </c>
    </row>
    <row r="69" spans="1:7" ht="15" customHeight="1" x14ac:dyDescent="0.25">
      <c r="A69" s="24" t="s">
        <v>214</v>
      </c>
      <c r="C69"/>
      <c r="D69"/>
      <c r="E69"/>
      <c r="F69"/>
      <c r="G69"/>
    </row>
    <row r="70" spans="1:7" ht="15" customHeight="1" x14ac:dyDescent="0.25">
      <c r="A70" s="24" t="s">
        <v>215</v>
      </c>
      <c r="C70"/>
      <c r="D70"/>
      <c r="E70"/>
      <c r="F70"/>
      <c r="G70"/>
    </row>
    <row r="71" spans="1:7" ht="15" customHeight="1" x14ac:dyDescent="0.25">
      <c r="A71" s="24" t="s">
        <v>112</v>
      </c>
      <c r="C71"/>
      <c r="D71"/>
      <c r="E71"/>
      <c r="F71"/>
      <c r="G71"/>
    </row>
  </sheetData>
  <hyperlinks>
    <hyperlink ref="A69" r:id="rId1" tooltip="Select to learn about analyzing your data instantly from the web"/>
    <hyperlink ref="A70" r:id="rId2" tooltip="Select to learn about analyzing trends in data using sparklines from the web"/>
  </hyperlinks>
  <pageMargins left="0.7" right="0.7" top="0.75" bottom="0.75" header="0.3" footer="0.3"/>
  <pageSetup orientation="portrait" r:id="rId3"/>
  <drawing r:id="rId4"/>
  <tableParts count="3">
    <tablePart r:id="rId5"/>
    <tablePart r:id="rId6"/>
    <tablePart r:id="rId7"/>
  </tableParts>
  <extLst>
    <ext xmlns:x14="http://schemas.microsoft.com/office/spreadsheetml/2009/9/main" uri="{05C60535-1F16-4fd2-B633-F4F36F0B64E0}">
      <x14:sparklineGroups xmlns:xm="http://schemas.microsoft.com/office/excel/2006/main">
        <x14:sparklineGroup displayEmptyCellsAs="span">
          <x14:colorSeries rgb="FF376092"/>
          <x14:colorNegative rgb="FFD00000"/>
          <x14:colorAxis rgb="FF000000"/>
          <x14:colorMarkers rgb="FFD00000"/>
          <x14:colorFirst rgb="FFD00000"/>
          <x14:colorLast rgb="FFD00000"/>
          <x14:colorHigh rgb="FFD00000"/>
          <x14:colorLow rgb="FFD00000"/>
          <x14:sparklines>
            <x14:sparkline>
              <xm:f>'8. Analyze'!D55:G55</xm:f>
              <xm:sqref>H55</xm:sqref>
            </x14:sparkline>
            <x14:sparkline>
              <xm:f>'8. Analyze'!D56:G56</xm:f>
              <xm:sqref>H56</xm:sqref>
            </x14:sparkline>
            <x14:sparkline>
              <xm:f>'8. Analyze'!D57:G57</xm:f>
              <xm:sqref>H57</xm:sqref>
            </x14:sparkline>
            <x14:sparkline>
              <xm:f>'8. Analyze'!D58:G58</xm:f>
              <xm:sqref>H58</xm:sqref>
            </x14:sparkline>
            <x14:sparkline>
              <xm:f>'8. Analyze'!D59:G59</xm:f>
              <xm:sqref>H59</xm:sqref>
            </x14:sparkline>
            <x14:sparkline>
              <xm:f>'8. Analyze'!D60:G60</xm:f>
              <xm:sqref>H60</xm:sqref>
            </x14:sparkline>
            <x14:sparkline>
              <xm:f>'8. Analyze'!D61:G61</xm:f>
              <xm:sqref>H61</xm:sqref>
            </x14:sparkline>
            <x14:sparkline>
              <xm:f>'8. Analyze'!D62:G62</xm:f>
              <xm:sqref>H62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74"/>
  <sheetViews>
    <sheetView showGridLines="0" topLeftCell="A58" zoomScaleNormal="100" zoomScalePageLayoutView="125" workbookViewId="0">
      <selection activeCell="I92" sqref="I92"/>
    </sheetView>
  </sheetViews>
  <sheetFormatPr defaultColWidth="8.85546875" defaultRowHeight="15" customHeight="1" x14ac:dyDescent="0.25"/>
  <cols>
    <col min="1" max="1" width="12.7109375" style="24" customWidth="1"/>
    <col min="2" max="2" width="82.85546875" style="17" customWidth="1"/>
    <col min="3" max="3" width="13.85546875" style="1" customWidth="1"/>
    <col min="4" max="4" width="24.42578125" style="1" customWidth="1"/>
    <col min="5" max="5" width="23.85546875" style="1" customWidth="1"/>
    <col min="6" max="6" width="15.5703125" style="1" customWidth="1"/>
    <col min="7" max="16384" width="8.85546875" style="1"/>
  </cols>
  <sheetData>
    <row r="1" spans="1:6" ht="60" customHeight="1" x14ac:dyDescent="0.25">
      <c r="A1" s="24" t="s">
        <v>135</v>
      </c>
      <c r="C1"/>
      <c r="D1"/>
      <c r="E1"/>
      <c r="F1"/>
    </row>
    <row r="2" spans="1:6" ht="15" customHeight="1" x14ac:dyDescent="0.25">
      <c r="A2" s="24" t="s">
        <v>348</v>
      </c>
      <c r="C2"/>
      <c r="D2"/>
      <c r="E2"/>
      <c r="F2"/>
    </row>
    <row r="3" spans="1:6" ht="15" customHeight="1" x14ac:dyDescent="0.25">
      <c r="A3" s="24" t="s">
        <v>262</v>
      </c>
      <c r="C3"/>
      <c r="D3"/>
      <c r="E3"/>
      <c r="F3"/>
    </row>
    <row r="4" spans="1:6" ht="15" customHeight="1" x14ac:dyDescent="0.25">
      <c r="A4" s="24" t="s">
        <v>349</v>
      </c>
      <c r="C4"/>
      <c r="D4"/>
      <c r="E4"/>
      <c r="F4"/>
    </row>
    <row r="5" spans="1:6" s="4" customFormat="1" ht="15" customHeight="1" x14ac:dyDescent="0.25">
      <c r="A5" s="24" t="s">
        <v>329</v>
      </c>
      <c r="B5" s="17"/>
      <c r="C5" t="s">
        <v>84</v>
      </c>
      <c r="D5" t="s">
        <v>85</v>
      </c>
      <c r="E5"/>
      <c r="F5"/>
    </row>
    <row r="6" spans="1:6" s="4" customFormat="1" ht="15" customHeight="1" x14ac:dyDescent="0.25">
      <c r="A6" s="24" t="s">
        <v>375</v>
      </c>
      <c r="B6" s="17"/>
      <c r="C6">
        <v>2012</v>
      </c>
      <c r="D6">
        <v>500</v>
      </c>
      <c r="E6"/>
      <c r="F6"/>
    </row>
    <row r="7" spans="1:6" s="4" customFormat="1" ht="15" customHeight="1" x14ac:dyDescent="0.25">
      <c r="A7" s="24" t="s">
        <v>350</v>
      </c>
      <c r="B7" s="17"/>
      <c r="C7">
        <v>2013</v>
      </c>
      <c r="D7">
        <v>800</v>
      </c>
      <c r="E7"/>
      <c r="F7"/>
    </row>
    <row r="8" spans="1:6" s="4" customFormat="1" ht="15" customHeight="1" x14ac:dyDescent="0.25">
      <c r="A8" s="24" t="s">
        <v>263</v>
      </c>
      <c r="B8" s="17"/>
      <c r="C8">
        <v>2014</v>
      </c>
      <c r="D8">
        <v>1000</v>
      </c>
      <c r="E8"/>
      <c r="F8"/>
    </row>
    <row r="9" spans="1:6" s="4" customFormat="1" ht="15" customHeight="1" x14ac:dyDescent="0.25">
      <c r="A9" s="63" t="s">
        <v>342</v>
      </c>
      <c r="B9" s="17"/>
      <c r="C9">
        <v>2015</v>
      </c>
      <c r="D9">
        <v>900</v>
      </c>
      <c r="E9"/>
      <c r="F9"/>
    </row>
    <row r="10" spans="1:6" s="4" customFormat="1" ht="15" customHeight="1" x14ac:dyDescent="0.25">
      <c r="A10" s="24" t="s">
        <v>118</v>
      </c>
      <c r="B10" s="17"/>
      <c r="C10">
        <v>2016</v>
      </c>
      <c r="D10">
        <v>1000</v>
      </c>
      <c r="E10"/>
      <c r="F10"/>
    </row>
    <row r="11" spans="1:6" s="4" customFormat="1" ht="15" customHeight="1" x14ac:dyDescent="0.25">
      <c r="A11" s="24"/>
      <c r="B11" s="17"/>
      <c r="C11">
        <v>2017</v>
      </c>
      <c r="D11">
        <v>1200</v>
      </c>
      <c r="E11"/>
      <c r="F11"/>
    </row>
    <row r="12" spans="1:6" s="4" customFormat="1" ht="15" customHeight="1" x14ac:dyDescent="0.25">
      <c r="A12" s="24"/>
      <c r="B12" s="17"/>
      <c r="C12"/>
      <c r="D12"/>
      <c r="E12"/>
      <c r="F12"/>
    </row>
    <row r="13" spans="1:6" s="4" customFormat="1" ht="15" customHeight="1" x14ac:dyDescent="0.25">
      <c r="A13" s="24"/>
      <c r="B13" s="17"/>
      <c r="C13"/>
      <c r="D13"/>
      <c r="E13"/>
      <c r="F13"/>
    </row>
    <row r="14" spans="1:6" s="4" customFormat="1" ht="15" customHeight="1" x14ac:dyDescent="0.25">
      <c r="A14" s="24"/>
      <c r="B14" s="17"/>
      <c r="C14"/>
      <c r="D14"/>
      <c r="E14"/>
      <c r="F14"/>
    </row>
    <row r="15" spans="1:6" s="4" customFormat="1" ht="15" customHeight="1" x14ac:dyDescent="0.25">
      <c r="A15" s="24"/>
      <c r="B15" s="17"/>
      <c r="C15"/>
      <c r="D15"/>
      <c r="E15"/>
      <c r="F15"/>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217</v>
      </c>
      <c r="C27"/>
      <c r="D27"/>
      <c r="E27"/>
      <c r="F27"/>
    </row>
    <row r="28" spans="1:6" ht="15" customHeight="1" x14ac:dyDescent="0.25">
      <c r="A28" s="24" t="s">
        <v>218</v>
      </c>
      <c r="C28"/>
      <c r="D28"/>
      <c r="E28"/>
      <c r="F28"/>
    </row>
    <row r="29" spans="1:6" ht="15" customHeight="1" x14ac:dyDescent="0.25">
      <c r="A29" s="24" t="s">
        <v>219</v>
      </c>
      <c r="C29"/>
      <c r="D29"/>
      <c r="E29"/>
      <c r="F29"/>
    </row>
    <row r="30" spans="1:6" ht="15" customHeight="1" x14ac:dyDescent="0.25">
      <c r="A30" s="24" t="s">
        <v>227</v>
      </c>
      <c r="C30"/>
      <c r="D30"/>
      <c r="E30"/>
      <c r="F30"/>
    </row>
    <row r="31" spans="1:6" ht="15" customHeight="1" x14ac:dyDescent="0.25">
      <c r="A31" s="24" t="s">
        <v>228</v>
      </c>
      <c r="C31"/>
      <c r="D31"/>
      <c r="E31"/>
      <c r="F31"/>
    </row>
    <row r="32" spans="1:6" ht="15" customHeight="1" x14ac:dyDescent="0.25">
      <c r="A32" s="24" t="s">
        <v>220</v>
      </c>
      <c r="C32"/>
      <c r="D32"/>
      <c r="E32"/>
      <c r="F32"/>
    </row>
    <row r="33" spans="1:6" ht="15" customHeight="1" x14ac:dyDescent="0.25">
      <c r="A33" s="24" t="s">
        <v>355</v>
      </c>
      <c r="C33"/>
      <c r="D33"/>
      <c r="E33"/>
      <c r="F33"/>
    </row>
    <row r="34" spans="1:6" ht="15" customHeight="1" x14ac:dyDescent="0.25">
      <c r="A34" s="24" t="s">
        <v>352</v>
      </c>
      <c r="C34"/>
      <c r="D34"/>
      <c r="E34"/>
      <c r="F34"/>
    </row>
    <row r="35" spans="1:6" ht="15" customHeight="1" x14ac:dyDescent="0.25">
      <c r="A35" s="24" t="s">
        <v>221</v>
      </c>
      <c r="C35"/>
      <c r="D35"/>
      <c r="E35"/>
      <c r="F35"/>
    </row>
    <row r="36" spans="1:6" ht="15" customHeight="1" x14ac:dyDescent="0.25">
      <c r="C36"/>
      <c r="D36"/>
      <c r="E36"/>
      <c r="F36"/>
    </row>
    <row r="37" spans="1:6" ht="15" customHeight="1" x14ac:dyDescent="0.25">
      <c r="C37"/>
      <c r="D37"/>
      <c r="E37"/>
      <c r="F37"/>
    </row>
    <row r="38" spans="1:6" ht="15" customHeight="1" x14ac:dyDescent="0.25">
      <c r="C38"/>
      <c r="D38"/>
      <c r="E38"/>
      <c r="F38"/>
    </row>
    <row r="39" spans="1:6" ht="15" customHeight="1" x14ac:dyDescent="0.25">
      <c r="C39"/>
      <c r="D39"/>
      <c r="E39"/>
      <c r="F39"/>
    </row>
    <row r="40" spans="1:6" ht="15" customHeight="1" x14ac:dyDescent="0.25">
      <c r="C40"/>
      <c r="D40"/>
      <c r="E40"/>
      <c r="F40"/>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A52" s="24" t="s">
        <v>222</v>
      </c>
      <c r="C52"/>
      <c r="D52"/>
      <c r="E52"/>
      <c r="F52"/>
    </row>
    <row r="53" spans="1:6" ht="15" customHeight="1" x14ac:dyDescent="0.25">
      <c r="A53" s="24" t="s">
        <v>226</v>
      </c>
      <c r="C53"/>
      <c r="D53"/>
      <c r="E53"/>
      <c r="F53"/>
    </row>
    <row r="54" spans="1:6" ht="15" customHeight="1" x14ac:dyDescent="0.25">
      <c r="A54" s="24" t="s">
        <v>264</v>
      </c>
      <c r="C54"/>
      <c r="D54"/>
      <c r="E54"/>
      <c r="F54"/>
    </row>
    <row r="55" spans="1:6" ht="15" customHeight="1" x14ac:dyDescent="0.25">
      <c r="A55" s="24" t="s">
        <v>330</v>
      </c>
    </row>
    <row r="56" spans="1:6" ht="15" customHeight="1" x14ac:dyDescent="0.25">
      <c r="A56" s="63" t="s">
        <v>360</v>
      </c>
    </row>
    <row r="57" spans="1:6" ht="15" customHeight="1" x14ac:dyDescent="0.25">
      <c r="A57" s="24" t="s">
        <v>216</v>
      </c>
    </row>
    <row r="62" spans="1:6" ht="15" customHeight="1" x14ac:dyDescent="0.25">
      <c r="F62"/>
    </row>
    <row r="63" spans="1:6" ht="15" customHeight="1" x14ac:dyDescent="0.25">
      <c r="C63"/>
      <c r="D63"/>
      <c r="E63"/>
      <c r="F63"/>
    </row>
    <row r="64" spans="1:6" ht="15" customHeight="1" x14ac:dyDescent="0.25">
      <c r="C64"/>
      <c r="D64"/>
      <c r="E64"/>
      <c r="F64"/>
    </row>
    <row r="67" spans="1:6" ht="15" customHeight="1" x14ac:dyDescent="0.25">
      <c r="D67" s="10" t="s">
        <v>78</v>
      </c>
      <c r="E67" s="10" t="s">
        <v>85</v>
      </c>
      <c r="F67" s="19" t="s">
        <v>86</v>
      </c>
    </row>
    <row r="68" spans="1:6" ht="15" customHeight="1" x14ac:dyDescent="0.25">
      <c r="A68" s="24" t="s">
        <v>113</v>
      </c>
      <c r="D68" s="66">
        <v>40923</v>
      </c>
      <c r="E68" s="6">
        <v>500</v>
      </c>
      <c r="F68" s="52">
        <v>5000</v>
      </c>
    </row>
    <row r="69" spans="1:6" ht="15" customHeight="1" x14ac:dyDescent="0.25">
      <c r="A69" s="24" t="s">
        <v>223</v>
      </c>
      <c r="C69"/>
      <c r="D69" s="66">
        <v>41289</v>
      </c>
      <c r="E69">
        <v>800</v>
      </c>
      <c r="F69" s="51">
        <v>11200</v>
      </c>
    </row>
    <row r="70" spans="1:6" ht="15" customHeight="1" x14ac:dyDescent="0.25">
      <c r="A70" s="24" t="s">
        <v>224</v>
      </c>
      <c r="C70"/>
      <c r="D70" s="66">
        <v>41654</v>
      </c>
      <c r="E70" s="6">
        <v>1000</v>
      </c>
      <c r="F70" s="52">
        <v>30000</v>
      </c>
    </row>
    <row r="71" spans="1:6" ht="15" customHeight="1" x14ac:dyDescent="0.25">
      <c r="A71" s="24" t="s">
        <v>225</v>
      </c>
      <c r="C71"/>
      <c r="D71" s="66">
        <v>42019</v>
      </c>
      <c r="E71">
        <v>900</v>
      </c>
      <c r="F71" s="51">
        <v>25000</v>
      </c>
    </row>
    <row r="72" spans="1:6" ht="15" customHeight="1" x14ac:dyDescent="0.25">
      <c r="A72" s="24" t="s">
        <v>112</v>
      </c>
      <c r="C72"/>
      <c r="D72" s="66">
        <v>42384</v>
      </c>
      <c r="E72" s="6">
        <v>1000</v>
      </c>
      <c r="F72" s="52">
        <v>5000</v>
      </c>
    </row>
    <row r="73" spans="1:6" ht="15" customHeight="1" x14ac:dyDescent="0.25">
      <c r="C73"/>
      <c r="D73" s="66">
        <v>42750</v>
      </c>
      <c r="E73">
        <v>1200</v>
      </c>
      <c r="F73" s="51">
        <v>8000</v>
      </c>
    </row>
    <row r="74" spans="1:6" ht="15" customHeight="1" x14ac:dyDescent="0.25">
      <c r="C74"/>
      <c r="D74"/>
      <c r="E74"/>
      <c r="F74"/>
    </row>
  </sheetData>
  <hyperlinks>
    <hyperlink ref="A71" r:id="rId1" tooltip="Select to learn about Available chart types in Office from the web"/>
    <hyperlink ref="A70" r:id="rId2" tooltip="Select to learn about creating a combo chart with a secondary axis from the web"/>
    <hyperlink ref="A69" r:id="rId3" tooltip="Select to learn about creating a chart from start to finish from the web"/>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61"/>
  <sheetViews>
    <sheetView showGridLines="0" tabSelected="1" topLeftCell="A58" zoomScaleNormal="100" zoomScalePageLayoutView="125" workbookViewId="0">
      <selection activeCell="H47" sqref="H47"/>
    </sheetView>
  </sheetViews>
  <sheetFormatPr defaultColWidth="8.85546875" defaultRowHeight="15" customHeight="1" x14ac:dyDescent="0.25"/>
  <cols>
    <col min="1" max="1" width="12.7109375" style="24" customWidth="1"/>
    <col min="2" max="2" width="82.85546875" style="17" customWidth="1"/>
    <col min="3" max="3" width="13.140625" style="1" customWidth="1"/>
    <col min="4" max="4" width="14.85546875" style="1" customWidth="1"/>
    <col min="5" max="5" width="13.140625" style="1" customWidth="1"/>
    <col min="6" max="6" width="14.85546875" style="1" bestFit="1" customWidth="1"/>
    <col min="7" max="16384" width="8.85546875" style="1"/>
  </cols>
  <sheetData>
    <row r="1" spans="1:6" ht="60" customHeight="1" x14ac:dyDescent="0.25">
      <c r="A1" s="24" t="s">
        <v>136</v>
      </c>
      <c r="C1"/>
      <c r="D1"/>
      <c r="E1"/>
      <c r="F1"/>
    </row>
    <row r="2" spans="1:6" ht="15" customHeight="1" x14ac:dyDescent="0.25">
      <c r="A2" s="24" t="s">
        <v>331</v>
      </c>
      <c r="C2"/>
      <c r="D2"/>
      <c r="E2"/>
      <c r="F2"/>
    </row>
    <row r="3" spans="1:6" ht="15" customHeight="1" x14ac:dyDescent="0.25">
      <c r="A3" s="24" t="s">
        <v>265</v>
      </c>
      <c r="C3" t="s">
        <v>78</v>
      </c>
      <c r="D3" t="s">
        <v>79</v>
      </c>
      <c r="E3" t="s">
        <v>27</v>
      </c>
      <c r="F3" t="s">
        <v>1</v>
      </c>
    </row>
    <row r="4" spans="1:6" ht="15" customHeight="1" x14ac:dyDescent="0.25">
      <c r="A4" s="24" t="s">
        <v>229</v>
      </c>
      <c r="C4" s="55">
        <f ca="1">TODAY()-57</f>
        <v>45024</v>
      </c>
      <c r="D4" t="s">
        <v>80</v>
      </c>
      <c r="E4" t="s">
        <v>81</v>
      </c>
      <c r="F4" s="53">
        <v>1400</v>
      </c>
    </row>
    <row r="5" spans="1:6" s="4" customFormat="1" ht="15" customHeight="1" x14ac:dyDescent="0.25">
      <c r="A5" s="24" t="s">
        <v>376</v>
      </c>
      <c r="B5" s="17"/>
      <c r="C5" s="55">
        <f ca="1">TODAY()-52</f>
        <v>45029</v>
      </c>
      <c r="D5" t="s">
        <v>71</v>
      </c>
      <c r="E5" t="s">
        <v>82</v>
      </c>
      <c r="F5" s="53">
        <v>1010</v>
      </c>
    </row>
    <row r="6" spans="1:6" s="4" customFormat="1" ht="15" customHeight="1" x14ac:dyDescent="0.25">
      <c r="A6" s="24"/>
      <c r="B6" s="17"/>
      <c r="C6" s="55">
        <f ca="1">TODAY()-35</f>
        <v>45046</v>
      </c>
      <c r="D6" t="s">
        <v>80</v>
      </c>
      <c r="E6" t="s">
        <v>81</v>
      </c>
      <c r="F6" s="53">
        <v>750</v>
      </c>
    </row>
    <row r="7" spans="1:6" s="4" customFormat="1" ht="15" customHeight="1" x14ac:dyDescent="0.25">
      <c r="A7" s="24" t="s">
        <v>377</v>
      </c>
      <c r="B7" s="17"/>
      <c r="C7" s="55">
        <f ca="1">TODAY()-31</f>
        <v>45050</v>
      </c>
      <c r="D7" t="s">
        <v>71</v>
      </c>
      <c r="E7" t="s">
        <v>83</v>
      </c>
      <c r="F7" s="53">
        <v>510</v>
      </c>
    </row>
    <row r="8" spans="1:6" s="4" customFormat="1" ht="15" customHeight="1" x14ac:dyDescent="0.25">
      <c r="A8" s="24" t="s">
        <v>118</v>
      </c>
      <c r="B8" s="17"/>
      <c r="C8" s="55">
        <f ca="1">TODAY()-11</f>
        <v>45070</v>
      </c>
      <c r="D8" t="s">
        <v>66</v>
      </c>
      <c r="E8" t="s">
        <v>83</v>
      </c>
      <c r="F8" s="53">
        <v>1600</v>
      </c>
    </row>
    <row r="9" spans="1:6" s="4" customFormat="1" ht="15" customHeight="1" x14ac:dyDescent="0.25">
      <c r="A9" s="24"/>
      <c r="B9" s="17"/>
      <c r="C9" s="55">
        <f ca="1">TODAY()</f>
        <v>45081</v>
      </c>
      <c r="D9" t="s">
        <v>74</v>
      </c>
      <c r="E9" t="s">
        <v>82</v>
      </c>
      <c r="F9" s="53">
        <v>680</v>
      </c>
    </row>
    <row r="10" spans="1:6" s="4" customFormat="1" ht="15" customHeight="1" x14ac:dyDescent="0.25">
      <c r="A10" s="24"/>
      <c r="B10" s="17"/>
      <c r="C10"/>
      <c r="D10"/>
      <c r="E10"/>
      <c r="F10"/>
    </row>
    <row r="11" spans="1:6" s="4" customFormat="1" ht="15" customHeight="1" x14ac:dyDescent="0.25">
      <c r="A11" s="24"/>
      <c r="B11" s="17"/>
      <c r="E11" s="20" t="s">
        <v>76</v>
      </c>
      <c r="F11" t="s">
        <v>87</v>
      </c>
    </row>
    <row r="12" spans="1:6" s="4" customFormat="1" ht="15" customHeight="1" x14ac:dyDescent="0.25">
      <c r="A12" s="24"/>
      <c r="B12" s="17"/>
      <c r="E12" s="4" t="s">
        <v>81</v>
      </c>
      <c r="F12" s="54">
        <v>2150</v>
      </c>
    </row>
    <row r="13" spans="1:6" s="4" customFormat="1" ht="15" customHeight="1" x14ac:dyDescent="0.25">
      <c r="A13" s="24"/>
      <c r="B13" s="17"/>
      <c r="E13" s="4" t="s">
        <v>83</v>
      </c>
      <c r="F13" s="54">
        <v>2110</v>
      </c>
    </row>
    <row r="14" spans="1:6" s="4" customFormat="1" ht="15" customHeight="1" x14ac:dyDescent="0.25">
      <c r="A14" s="24"/>
      <c r="B14" s="17"/>
      <c r="E14" s="4" t="s">
        <v>82</v>
      </c>
      <c r="F14" s="54">
        <v>1690</v>
      </c>
    </row>
    <row r="15" spans="1:6" s="4" customFormat="1" ht="15" customHeight="1" x14ac:dyDescent="0.25">
      <c r="A15" s="24"/>
      <c r="B15" s="17"/>
      <c r="E15" s="4" t="s">
        <v>77</v>
      </c>
      <c r="F15" s="54">
        <v>5950</v>
      </c>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c r="C22"/>
      <c r="D22"/>
      <c r="E22"/>
      <c r="F22"/>
    </row>
    <row r="23" spans="1:6" s="4" customFormat="1" ht="15" customHeight="1" x14ac:dyDescent="0.25">
      <c r="A23" s="24"/>
      <c r="B23" s="17"/>
      <c r="C23"/>
      <c r="D23"/>
      <c r="E23"/>
      <c r="F23"/>
    </row>
    <row r="24" spans="1:6" s="4" customFormat="1" ht="15" customHeight="1" x14ac:dyDescent="0.25">
      <c r="A24" s="24"/>
      <c r="B24" s="17"/>
      <c r="C24"/>
      <c r="D24"/>
      <c r="E24"/>
      <c r="F24"/>
    </row>
    <row r="25" spans="1:6" ht="15" customHeight="1" x14ac:dyDescent="0.25">
      <c r="C25"/>
      <c r="D25"/>
      <c r="E25"/>
      <c r="F25"/>
    </row>
    <row r="26" spans="1:6" ht="15" customHeight="1" x14ac:dyDescent="0.25">
      <c r="C26"/>
      <c r="D26"/>
      <c r="E26"/>
    </row>
    <row r="27" spans="1:6" ht="15" customHeight="1" x14ac:dyDescent="0.25">
      <c r="A27" s="24" t="s">
        <v>230</v>
      </c>
      <c r="C27"/>
      <c r="D27"/>
      <c r="E27"/>
      <c r="F27"/>
    </row>
    <row r="28" spans="1:6" ht="15" customHeight="1" x14ac:dyDescent="0.25">
      <c r="A28" s="24" t="s">
        <v>231</v>
      </c>
      <c r="C28"/>
      <c r="D28"/>
      <c r="E28"/>
      <c r="F28"/>
    </row>
    <row r="29" spans="1:6" ht="15" customHeight="1" x14ac:dyDescent="0.25">
      <c r="A29" s="24" t="s">
        <v>332</v>
      </c>
      <c r="C29"/>
      <c r="D29"/>
      <c r="E29"/>
      <c r="F29"/>
    </row>
    <row r="30" spans="1:6" ht="15" customHeight="1" x14ac:dyDescent="0.25">
      <c r="A30" s="24" t="s">
        <v>373</v>
      </c>
      <c r="C30"/>
      <c r="D30"/>
      <c r="E30"/>
      <c r="F30"/>
    </row>
    <row r="31" spans="1:6" ht="15" customHeight="1" x14ac:dyDescent="0.25">
      <c r="A31" s="24" t="s">
        <v>343</v>
      </c>
      <c r="C31"/>
      <c r="D31"/>
      <c r="E31"/>
      <c r="F31"/>
    </row>
    <row r="32" spans="1:6" ht="15" customHeight="1" x14ac:dyDescent="0.25">
      <c r="A32" s="24" t="s">
        <v>361</v>
      </c>
      <c r="C32"/>
      <c r="D32"/>
      <c r="E32"/>
      <c r="F32"/>
    </row>
    <row r="33" spans="1:6" ht="15" customHeight="1" x14ac:dyDescent="0.25">
      <c r="A33" s="63" t="s">
        <v>362</v>
      </c>
      <c r="C33"/>
      <c r="D33"/>
      <c r="E33"/>
      <c r="F33"/>
    </row>
    <row r="34" spans="1:6" ht="15" customHeight="1" x14ac:dyDescent="0.25">
      <c r="A34" s="63" t="s">
        <v>374</v>
      </c>
      <c r="C34" t="s">
        <v>78</v>
      </c>
      <c r="D34" t="s">
        <v>79</v>
      </c>
      <c r="E34" t="s">
        <v>27</v>
      </c>
      <c r="F34" t="s">
        <v>1</v>
      </c>
    </row>
    <row r="35" spans="1:6" ht="15" customHeight="1" x14ac:dyDescent="0.25">
      <c r="A35" s="24" t="s">
        <v>363</v>
      </c>
      <c r="C35" s="55">
        <f ca="1">TODAY()-57</f>
        <v>45024</v>
      </c>
      <c r="D35" t="s">
        <v>80</v>
      </c>
      <c r="E35" t="s">
        <v>81</v>
      </c>
      <c r="F35" s="53">
        <v>1400</v>
      </c>
    </row>
    <row r="36" spans="1:6" ht="15" customHeight="1" x14ac:dyDescent="0.25">
      <c r="A36" s="24" t="s">
        <v>232</v>
      </c>
      <c r="C36" s="55">
        <f ca="1">TODAY()-52</f>
        <v>45029</v>
      </c>
      <c r="D36" t="s">
        <v>71</v>
      </c>
      <c r="E36" t="s">
        <v>82</v>
      </c>
      <c r="F36" s="53">
        <v>1010</v>
      </c>
    </row>
    <row r="37" spans="1:6" ht="15" customHeight="1" x14ac:dyDescent="0.25">
      <c r="C37" s="55">
        <f ca="1">TODAY()-35</f>
        <v>45046</v>
      </c>
      <c r="D37" t="s">
        <v>80</v>
      </c>
      <c r="E37" t="s">
        <v>81</v>
      </c>
      <c r="F37" s="53">
        <v>750</v>
      </c>
    </row>
    <row r="38" spans="1:6" ht="15" customHeight="1" x14ac:dyDescent="0.25">
      <c r="C38" s="55">
        <f ca="1">TODAY()-31</f>
        <v>45050</v>
      </c>
      <c r="D38" t="s">
        <v>71</v>
      </c>
      <c r="E38" t="s">
        <v>83</v>
      </c>
      <c r="F38" s="53">
        <v>510</v>
      </c>
    </row>
    <row r="39" spans="1:6" ht="15" customHeight="1" x14ac:dyDescent="0.25">
      <c r="C39" s="55">
        <f ca="1">TODAY()-11</f>
        <v>45070</v>
      </c>
      <c r="D39" t="s">
        <v>66</v>
      </c>
      <c r="E39" t="s">
        <v>83</v>
      </c>
      <c r="F39" s="53">
        <v>1600</v>
      </c>
    </row>
    <row r="40" spans="1:6" ht="15" customHeight="1" x14ac:dyDescent="0.25">
      <c r="C40" s="55">
        <f ca="1">TODAY()</f>
        <v>45081</v>
      </c>
      <c r="D40" t="s">
        <v>74</v>
      </c>
      <c r="E40" t="s">
        <v>82</v>
      </c>
      <c r="F40" s="53">
        <v>680</v>
      </c>
    </row>
    <row r="41" spans="1:6" ht="15" customHeight="1" x14ac:dyDescent="0.25">
      <c r="C41"/>
      <c r="D41"/>
      <c r="E41"/>
      <c r="F41"/>
    </row>
    <row r="42" spans="1:6" ht="15" customHeight="1" x14ac:dyDescent="0.25">
      <c r="C42" s="20" t="s">
        <v>76</v>
      </c>
      <c r="D42" t="s">
        <v>87</v>
      </c>
      <c r="E42"/>
      <c r="F42"/>
    </row>
    <row r="43" spans="1:6" ht="15" customHeight="1" x14ac:dyDescent="0.25">
      <c r="C43" s="4" t="s">
        <v>80</v>
      </c>
      <c r="D43" s="67">
        <v>2150</v>
      </c>
      <c r="E43"/>
      <c r="F43"/>
    </row>
    <row r="44" spans="1:6" ht="15" customHeight="1" x14ac:dyDescent="0.25">
      <c r="C44" s="4" t="s">
        <v>74</v>
      </c>
      <c r="D44" s="67">
        <v>680</v>
      </c>
      <c r="E44"/>
      <c r="F44"/>
    </row>
    <row r="45" spans="1:6" ht="15" customHeight="1" x14ac:dyDescent="0.25">
      <c r="C45" s="4" t="s">
        <v>66</v>
      </c>
      <c r="D45" s="67">
        <v>1600</v>
      </c>
      <c r="E45"/>
      <c r="F45"/>
    </row>
    <row r="46" spans="1:6" ht="15" customHeight="1" x14ac:dyDescent="0.25">
      <c r="C46" s="4" t="s">
        <v>71</v>
      </c>
      <c r="D46" s="67">
        <v>1520</v>
      </c>
      <c r="E46"/>
      <c r="F46"/>
    </row>
    <row r="47" spans="1:6" ht="15" customHeight="1" x14ac:dyDescent="0.25">
      <c r="C47" s="4" t="s">
        <v>77</v>
      </c>
      <c r="D47" s="67">
        <v>5950</v>
      </c>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58" spans="1:6" ht="15" customHeight="1" x14ac:dyDescent="0.25">
      <c r="A58" s="24" t="s">
        <v>113</v>
      </c>
      <c r="C58"/>
      <c r="D58"/>
      <c r="E58"/>
      <c r="F58"/>
    </row>
    <row r="59" spans="1:6" ht="15" customHeight="1" x14ac:dyDescent="0.25">
      <c r="A59" s="24" t="s">
        <v>233</v>
      </c>
      <c r="C59"/>
      <c r="D59"/>
      <c r="E59"/>
      <c r="F59"/>
    </row>
    <row r="60" spans="1:6" ht="15" customHeight="1" x14ac:dyDescent="0.25">
      <c r="A60" s="24" t="s">
        <v>234</v>
      </c>
      <c r="C60"/>
      <c r="D60"/>
      <c r="E60"/>
      <c r="F60"/>
    </row>
    <row r="61" spans="1:6" ht="15" customHeight="1" x14ac:dyDescent="0.25">
      <c r="A61" s="24" t="s">
        <v>112</v>
      </c>
      <c r="C61"/>
      <c r="D61"/>
      <c r="E61"/>
      <c r="F61"/>
    </row>
  </sheetData>
  <hyperlinks>
    <hyperlink ref="A60" r:id="rId3" tooltip="Select to learn about using the Field List to arrange fields in a PivotTable from the web"/>
    <hyperlink ref="A59" r:id="rId4" tooltip="Select to learn creating a PivotTable to analyze worksheet data from the web"/>
  </hyperlinks>
  <pageMargins left="0.7" right="0.7" top="0.75" bottom="0.75" header="0.3" footer="0.3"/>
  <pageSetup orientation="portrait" r:id="rId5"/>
  <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7"/>
  <sheetViews>
    <sheetView showGridLines="0" zoomScaleNormal="100" workbookViewId="0"/>
  </sheetViews>
  <sheetFormatPr defaultColWidth="8.85546875" defaultRowHeight="15" customHeight="1" x14ac:dyDescent="0.25"/>
  <cols>
    <col min="1" max="1" width="8.85546875" style="24"/>
    <col min="2" max="2" width="95.140625" style="17" customWidth="1"/>
  </cols>
  <sheetData>
    <row r="1" spans="1:2" ht="60" customHeight="1" x14ac:dyDescent="0.25">
      <c r="A1" s="24" t="s">
        <v>121</v>
      </c>
    </row>
    <row r="2" spans="1:2" s="21" customFormat="1" ht="15" customHeight="1" x14ac:dyDescent="0.3">
      <c r="A2" s="24" t="s">
        <v>266</v>
      </c>
      <c r="B2" s="17"/>
    </row>
    <row r="3" spans="1:2" s="21" customFormat="1" ht="15" customHeight="1" x14ac:dyDescent="0.3">
      <c r="A3" s="24" t="s">
        <v>334</v>
      </c>
      <c r="B3" s="17"/>
    </row>
    <row r="4" spans="1:2" s="22" customFormat="1" ht="15" customHeight="1" x14ac:dyDescent="0.7">
      <c r="A4" s="24" t="s">
        <v>353</v>
      </c>
      <c r="B4" s="17"/>
    </row>
    <row r="5" spans="1:2" s="23" customFormat="1" ht="15" customHeight="1" x14ac:dyDescent="0.25">
      <c r="A5" s="24" t="s">
        <v>354</v>
      </c>
      <c r="B5" s="17"/>
    </row>
    <row r="6" spans="1:2" s="23" customFormat="1" ht="15" customHeight="1" x14ac:dyDescent="0.25">
      <c r="A6" s="63" t="s">
        <v>356</v>
      </c>
      <c r="B6" s="17"/>
    </row>
    <row r="7" spans="1:2" ht="15" customHeight="1" x14ac:dyDescent="0.25">
      <c r="A7" s="24" t="s">
        <v>122</v>
      </c>
    </row>
  </sheetData>
  <hyperlinks>
    <hyperlink ref="A4" r:id="rId1" tooltip="Select to learn more about LinkedIn Learning" display="http://go.microsoft.com/fwlink/?LinkId=846285"/>
    <hyperlink ref="A5" r:id="rId2" tooltip="Select to learn more about Community" display="http://go.microsoft.com/fwlink/?LinkId=844969"/>
    <hyperlink ref="A6" r:id="rId3" tooltip="Select to learn more about what else is new" display="http://go.microsoft.com/fwlink/?LinkId=846286"/>
    <hyperlink ref="A7" r:id="rId4" tooltip="Select to Give us feedback on this tour"/>
  </hyperlinks>
  <pageMargins left="0.7" right="0.7" top="0.75" bottom="0.7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2020-01-09T20:56:31Z</dcterms:created>
  <dcterms:modified xsi:type="dcterms:W3CDTF">2023-06-04T06:59:30Z</dcterms:modified>
  <cp:version/>
</cp:coreProperties>
</file>